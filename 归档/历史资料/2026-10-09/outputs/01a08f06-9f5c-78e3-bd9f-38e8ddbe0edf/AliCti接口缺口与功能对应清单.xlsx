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3211ffa28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f1b823ae791348e7"/>
    <x:sheet xmlns:r="http://schemas.openxmlformats.org/officeDocument/2006/relationships" name="缺口总览" sheetId="2" r:id="R24401e0434e04e8e"/>
    <x:sheet xmlns:r="http://schemas.openxmlformats.org/officeDocument/2006/relationships" name="功能与页面对应" sheetId="3" r:id="R0c3cc38e80954ef9"/>
    <x:sheet xmlns:r="http://schemas.openxmlformats.org/officeDocument/2006/relationships" name="接口索引" sheetId="4" r:id="Rd56ea2facc8b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yyyy-mm-dd"/>
    <x:numFmt numFmtId="201" formatCode="mm-dd"/>
  </x:numFmts>
  <x:fonts count="3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4"/>
      <x:color rgb="FFFFFFFF"/>
      <x:name val="Arial Unicode MS"/>
    </x:font>
    <x:font>
      <x:b/>
      <x:sz val="10"/>
      <x:color rgb="FFD9E2EA"/>
      <x:name val="Arial Unicode MS"/>
    </x:font>
    <x:font>
      <x:sz val="11"/>
      <x:name val="Arial Unicode MS"/>
    </x:font>
    <x:font>
      <x:b/>
      <x:sz val="10"/>
      <x:color rgb="FF3F3296"/>
      <x:name val="Arial Unicode MS"/>
    </x:font>
    <x:font>
      <x:b/>
      <x:sz val="9"/>
      <x:color rgb="FF3F3296"/>
      <x:name val="Arial Unicode MS"/>
    </x:font>
    <x:font>
      <x:sz val="9"/>
      <x:color rgb="FF0432FF"/>
      <x:name val="Arial Unicode MS"/>
    </x:font>
    <x:font>
      <x:b/>
      <x:sz val="8"/>
      <x:color rgb="FFFFFFFF"/>
      <x:name val="Arial Unicode MS"/>
    </x:font>
    <x:font>
      <x:b/>
      <x:sz val="18"/>
      <x:color rgb="FF3F3296"/>
      <x:name val="Arial Unicode MS"/>
    </x:font>
    <x:font>
      <x:b/>
      <x:sz val="18"/>
      <x:color rgb="FF087E5D"/>
      <x:name val="Arial Unicode MS"/>
    </x:font>
    <x:font>
      <x:b/>
      <x:sz val="18"/>
      <x:color rgb="FF3258CD"/>
      <x:name val="Arial Unicode MS"/>
    </x:font>
    <x:font>
      <x:b/>
      <x:sz val="18"/>
      <x:color rgb="FFC23647"/>
      <x:name val="Arial Unicode MS"/>
    </x:font>
    <x:font>
      <x:b/>
      <x:sz val="9"/>
      <x:color rgb="FFFFFFFF"/>
      <x:name val="Arial Unicode MS"/>
    </x:font>
    <x:font>
      <x:sz val="9"/>
      <x:color rgb="FF17212B"/>
      <x:name val="Arial Unicode MS"/>
    </x:font>
    <x:font>
      <x:i/>
      <x:sz val="9"/>
      <x:color rgb="FF3F3296"/>
      <x:name val="Arial Unicode MS"/>
    </x:font>
    <x:font>
      <x:sz val="11"/>
      <x:color rgb="FF243047"/>
      <x:name val="Arial Unicode MS"/>
    </x:font>
    <x:font>
      <x:b/>
      <x:sz val="16"/>
      <x:color rgb="FF44328F"/>
      <x:name val="Arial Unicode MS"/>
    </x:font>
    <x:font>
      <x:sz val="10"/>
      <x:color rgb="FF667085"/>
      <x:name val="Arial Unicode MS"/>
    </x:font>
    <x:font>
      <x:b/>
      <x:sz val="11"/>
      <x:color rgb="FFFFFFFF"/>
      <x:name val="Arial Unicode MS"/>
    </x:font>
    <x:font>
      <x:b/>
      <x:sz val="11"/>
      <x:color rgb="FF243047"/>
      <x:name val="Arial Unicode MS"/>
    </x:font>
    <x:font>
      <x:sz val="11"/>
      <x:color rgb="FF215EAD"/>
      <x:name val="Arial Unicode MS"/>
    </x:font>
  </x:fonts>
  <x:fills count="12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44328F"/>
      </x:patternFill>
    </x:fill>
    <x:fill>
      <x:patternFill patternType="solid">
        <x:fgColor rgb="FFFFFFFF"/>
      </x:patternFill>
    </x:fill>
    <x:fill>
      <x:patternFill patternType="solid">
        <x:fgColor rgb="FFF3F0FC"/>
      </x:patternFill>
    </x:fill>
  </x:fills>
  <x:borders count="18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  <x:border>
      <x:bottom style="thin">
        <x:color rgb="FF44328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6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left" vertical="center"/>
    </x:xf>
    <x:xf numFmtId="0" fontId="16" fillId="2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vertical="center"/>
    </x:xf>
    <x:xf numFmtId="0" fontId="18" fillId="3" borderId="0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20" fillId="5" borderId="2" xfId="0" applyNumberFormat="1" applyFont="1" applyFill="1" applyBorder="1" applyAlignment="1">
      <x:alignment horizontal="left" vertical="center"/>
    </x:xf>
    <x:xf numFmtId="0" fontId="19" fillId="4" borderId="12" xfId="0" applyNumberFormat="1" applyFont="1" applyFill="1" applyBorder="1" applyAlignment="1">
      <x:alignment horizontal="center" vertical="center" wrapText="1"/>
    </x:xf>
    <x:xf numFmtId="0" fontId="19" fillId="4" borderId="13" xfId="0" applyNumberFormat="1" applyFont="1" applyFill="1" applyBorder="1" applyAlignment="1">
      <x:alignment horizontal="center" vertical="center" wrapText="1"/>
    </x:xf>
    <x:xf numFmtId="0" fontId="21" fillId="2" borderId="3" xfId="0" applyNumberFormat="1" applyFont="1" applyFill="1" applyBorder="1" applyAlignment="1">
      <x:alignment horizontal="center" vertical="center"/>
    </x:xf>
    <x:xf numFmtId="0" fontId="21" fillId="2" borderId="4" xfId="0" applyNumberFormat="1" applyFont="1" applyFill="1" applyBorder="1" applyAlignment="1">
      <x:alignment horizontal="center" vertical="center"/>
    </x:xf>
    <x:xf numFmtId="0" fontId="21" fillId="2" borderId="5" xfId="0" applyNumberFormat="1" applyFont="1" applyFill="1" applyBorder="1" applyAlignment="1">
      <x:alignment horizontal="center" vertical="center"/>
    </x:xf>
    <x:xf numFmtId="164" fontId="20" fillId="5" borderId="2" xfId="0" applyNumberFormat="1" applyFont="1" applyFill="1" applyBorder="1" applyAlignment="1">
      <x:alignment horizontal="left" vertical="center"/>
    </x:xf>
    <x:xf numFmtId="165" fontId="22" fillId="3" borderId="3" xfId="0" applyNumberFormat="1" applyFont="1" applyFill="1" applyBorder="1" applyAlignment="1">
      <x:alignment horizontal="center" vertical="center"/>
    </x:xf>
    <x:xf numFmtId="165" fontId="22" fillId="3" borderId="4" xfId="0" applyNumberFormat="1" applyFont="1" applyFill="1" applyBorder="1" applyAlignment="1">
      <x:alignment horizontal="center" vertical="center"/>
    </x:xf>
    <x:xf numFmtId="165" fontId="22" fillId="3" borderId="5" xfId="0" applyNumberFormat="1" applyFont="1" applyFill="1" applyBorder="1" applyAlignment="1">
      <x:alignment horizontal="center" vertical="center"/>
    </x:xf>
    <x:xf numFmtId="165" fontId="23" fillId="3" borderId="3" xfId="0" applyNumberFormat="1" applyFont="1" applyFill="1" applyBorder="1" applyAlignment="1">
      <x:alignment horizontal="center" vertical="center"/>
    </x:xf>
    <x:xf numFmtId="165" fontId="23" fillId="3" borderId="4" xfId="0" applyNumberFormat="1" applyFont="1" applyFill="1" applyBorder="1" applyAlignment="1">
      <x:alignment horizontal="center" vertical="center"/>
    </x:xf>
    <x:xf numFmtId="165" fontId="23" fillId="3" borderId="5" xfId="0" applyNumberFormat="1" applyFont="1" applyFill="1" applyBorder="1" applyAlignment="1">
      <x:alignment horizontal="center" vertical="center"/>
    </x:xf>
    <x:xf numFmtId="165" fontId="24" fillId="3" borderId="3" xfId="0" applyNumberFormat="1" applyFont="1" applyFill="1" applyBorder="1" applyAlignment="1">
      <x:alignment horizontal="center" vertical="center"/>
    </x:xf>
    <x:xf numFmtId="165" fontId="24" fillId="3" borderId="4" xfId="0" applyNumberFormat="1" applyFont="1" applyFill="1" applyBorder="1" applyAlignment="1">
      <x:alignment horizontal="center" vertical="center"/>
    </x:xf>
    <x:xf numFmtId="165" fontId="24" fillId="3" borderId="5" xfId="0" applyNumberFormat="1" applyFont="1" applyFill="1" applyBorder="1" applyAlignment="1">
      <x:alignment horizontal="center" vertical="center"/>
    </x:xf>
    <x:xf numFmtId="165" fontId="25" fillId="3" borderId="3" xfId="0" applyNumberFormat="1" applyFont="1" applyFill="1" applyBorder="1" applyAlignment="1">
      <x:alignment horizontal="center" vertical="center"/>
    </x:xf>
    <x:xf numFmtId="165" fontId="25" fillId="3" borderId="4" xfId="0" applyNumberFormat="1" applyFont="1" applyFill="1" applyBorder="1" applyAlignment="1">
      <x:alignment horizontal="center" vertical="center"/>
    </x:xf>
    <x:xf numFmtId="165" fontId="25" fillId="3" borderId="5" xfId="0" applyNumberFormat="1" applyFont="1" applyFill="1" applyBorder="1" applyAlignment="1">
      <x:alignment horizontal="center" vertical="center"/>
    </x:xf>
    <x:xf numFmtId="0" fontId="26" fillId="6" borderId="1" xfId="0" applyNumberFormat="1" applyFont="1" applyFill="1" applyBorder="1" applyAlignment="1">
      <x:alignment horizontal="center" vertical="center" wrapText="1"/>
    </x:xf>
    <x:xf numFmtId="166" fontId="26" fillId="6" borderId="1" xfId="0" applyNumberFormat="1" applyFont="1" applyFill="1" applyBorder="1" applyAlignment="1">
      <x:alignment horizontal="center" vertical="center" wrapText="1"/>
    </x:xf>
    <x:xf numFmtId="0" fontId="19" fillId="7" borderId="1" xfId="0" applyNumberFormat="1" applyFont="1" applyFill="1" applyBorder="1" applyAlignment="1">
      <x:alignment horizontal="left" vertical="center"/>
    </x:xf>
    <x:xf numFmtId="0" fontId="27" fillId="7" borderId="1" xfId="0" applyNumberFormat="1" applyFont="1" applyFill="1" applyBorder="1" applyAlignment="1">
      <x:alignment horizontal="left" vertical="center"/>
    </x:xf>
    <x:xf numFmtId="0" fontId="27" fillId="7" borderId="1" xfId="0" applyNumberFormat="1" applyFont="1" applyFill="1" applyBorder="1" applyAlignment="1">
      <x:alignment horizontal="center" vertical="center"/>
    </x:xf>
    <x:xf numFmtId="166" fontId="20" fillId="7" borderId="1" xfId="0" applyNumberFormat="1" applyFont="1" applyFill="1" applyBorder="1" applyAlignment="1">
      <x:alignment horizontal="center" vertical="center"/>
    </x:xf>
    <x:xf numFmtId="165" fontId="27" fillId="3" borderId="1" xfId="0" applyNumberFormat="1" applyFont="1" applyFill="1" applyBorder="1" applyAlignment="1">
      <x:alignment horizontal="center" vertical="center"/>
    </x:xf>
    <x:xf numFmtId="167" fontId="27" fillId="4" borderId="1" xfId="0" applyNumberFormat="1" applyFont="1" applyFill="1" applyBorder="1" applyAlignment="1">
      <x:alignment horizontal="left" vertical="center"/>
    </x:xf>
    <x:xf numFmtId="167" fontId="27" fillId="7" borderId="1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left" vertical="center"/>
    </x:xf>
    <x:xf numFmtId="0" fontId="27" fillId="4" borderId="1" xfId="0" applyNumberFormat="1" applyFont="1" applyFill="1" applyBorder="1" applyAlignment="1">
      <x:alignment horizontal="left" vertical="center"/>
    </x:xf>
    <x:xf numFmtId="0" fontId="27" fillId="4" borderId="1" xfId="0" applyNumberFormat="1" applyFont="1" applyFill="1" applyBorder="1" applyAlignment="1">
      <x:alignment horizontal="center" vertical="center"/>
    </x:xf>
    <x:xf numFmtId="166" fontId="20" fillId="4" borderId="1" xfId="0" applyNumberFormat="1" applyFont="1" applyFill="1" applyBorder="1" applyAlignment="1">
      <x:alignment horizontal="center" vertical="center"/>
    </x:xf>
    <x:xf numFmtId="166" fontId="27" fillId="4" borderId="1" xfId="0" applyNumberFormat="1" applyFont="1" applyFill="1" applyBorder="1" applyAlignment="1">
      <x:alignment horizontal="center" vertical="center"/>
    </x:xf>
    <x:xf numFmtId="166" fontId="27" fillId="7" borderId="1" xfId="0" applyNumberFormat="1" applyFont="1" applyFill="1" applyBorder="1" applyAlignment="1">
      <x:alignment horizontal="center" vertical="center"/>
    </x:xf>
    <x:xf numFmtId="0" fontId="28" fillId="3" borderId="6" xfId="0" applyNumberFormat="1" applyFont="1" applyFill="1" applyBorder="1" applyAlignment="1">
      <x:alignment horizontal="left" vertical="center" wrapText="1"/>
    </x:xf>
    <x:xf numFmtId="0" fontId="28" fillId="3" borderId="7" xfId="0" applyNumberFormat="1" applyFont="1" applyFill="1" applyBorder="1" applyAlignment="1">
      <x:alignment horizontal="left" vertical="center" wrapText="1"/>
    </x:xf>
    <x:xf numFmtId="0" fontId="28" fillId="3" borderId="8" xfId="0" applyNumberFormat="1" applyFont="1" applyFill="1" applyBorder="1" applyAlignment="1">
      <x:alignment horizontal="left" vertical="center" wrapText="1"/>
    </x:xf>
    <x:xf numFmtId="0" fontId="28" fillId="3" borderId="9" xfId="0" applyNumberFormat="1" applyFont="1" applyFill="1" applyBorder="1" applyAlignment="1">
      <x:alignment horizontal="left" vertical="center" wrapText="1"/>
    </x:xf>
    <x:xf numFmtId="0" fontId="28" fillId="3" borderId="10" xfId="0" applyNumberFormat="1" applyFont="1" applyFill="1" applyBorder="1" applyAlignment="1">
      <x:alignment horizontal="left" vertical="center" wrapText="1"/>
    </x:xf>
    <x:xf numFmtId="0" fontId="28" fillId="3" borderId="11" xfId="0" applyNumberFormat="1" applyFont="1" applyFill="1" applyBorder="1" applyAlignment="1">
      <x:alignment horizontal="left" vertical="center" wrapText="1"/>
    </x:xf>
    <x:xf numFmtId="200" fontId="20" fillId="5" borderId="2" xfId="0" applyNumberFormat="1" applyFont="1" applyFill="1" applyBorder="1" applyAlignment="1">
      <x:alignment horizontal="left" vertical="center"/>
    </x:xf>
    <x:xf numFmtId="0" fontId="27" fillId="7" borderId="1" xfId="0" applyNumberFormat="1" applyFont="1" applyFill="1" applyBorder="1" applyAlignment="1">
      <x:alignment horizontal="left" vertical="center" wrapText="1"/>
    </x:xf>
    <x:xf numFmtId="0" fontId="27" fillId="4" borderId="1" xfId="0" applyNumberFormat="1" applyFont="1" applyFill="1" applyBorder="1" applyAlignment="1">
      <x:alignment horizontal="left" vertical="center" wrapText="1"/>
    </x:xf>
    <x:xf numFmtId="200" fontId="20" fillId="7" borderId="1" xfId="0" applyNumberFormat="1" applyFont="1" applyFill="1" applyBorder="1" applyAlignment="1">
      <x:alignment horizontal="center" vertical="center"/>
    </x:xf>
    <x:xf numFmtId="200" fontId="20" fillId="4" borderId="1" xfId="0" applyNumberFormat="1" applyFont="1" applyFill="1" applyBorder="1" applyAlignment="1">
      <x:alignment horizontal="center" vertical="center"/>
    </x:xf>
    <x:xf numFmtId="200" fontId="27" fillId="4" borderId="1" xfId="0" applyNumberFormat="1" applyFont="1" applyFill="1" applyBorder="1" applyAlignment="1">
      <x:alignment horizontal="center" vertical="center"/>
    </x:xf>
    <x:xf numFmtId="200" fontId="27" fillId="7" borderId="1" xfId="0" applyNumberFormat="1" applyFont="1" applyFill="1" applyBorder="1" applyAlignment="1">
      <x:alignment horizontal="center" vertical="center"/>
    </x:xf>
    <x:xf numFmtId="201" fontId="26" fillId="6" borderId="1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/>
    <x:xf numFmtId="0" fontId="29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/>
    </x:xf>
    <x:xf numFmtId="0" fontId="30" fillId="0" borderId="14" xfId="0" applyNumberFormat="1" applyFont="1" applyFill="1" applyBorder="1" applyAlignment="1">
      <x:alignment vertical="center"/>
    </x:xf>
    <x:xf numFmtId="0" fontId="29" fillId="0" borderId="14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center"/>
    </x:xf>
    <x:xf numFmtId="0" fontId="29" fillId="9" borderId="0" xfId="0" applyNumberFormat="1" applyFont="1" applyFill="1" applyBorder="1" applyAlignment="1">
      <x:alignment vertical="center"/>
    </x:xf>
    <x:xf numFmtId="0" fontId="32" fillId="9" borderId="0" xfId="0" applyNumberFormat="1" applyFont="1" applyFill="1" applyBorder="1" applyAlignment="1">
      <x:alignment vertical="center"/>
    </x:xf>
    <x:xf numFmtId="0" fontId="32" fillId="9" borderId="15" xfId="0" applyNumberFormat="1" applyFont="1" applyFill="1" applyBorder="1" applyAlignment="1">
      <x:alignment vertical="center"/>
    </x:xf>
    <x:xf numFmtId="0" fontId="32" fillId="9" borderId="16" xfId="0" applyNumberFormat="1" applyFont="1" applyFill="1" applyBorder="1" applyAlignment="1">
      <x:alignment vertical="center"/>
    </x:xf>
    <x:xf numFmtId="0" fontId="32" fillId="9" borderId="17" xfId="0" applyNumberFormat="1" applyFont="1" applyFill="1" applyBorder="1" applyAlignment="1">
      <x:alignment vertical="center"/>
    </x:xf>
    <x:xf numFmtId="0" fontId="32" fillId="9" borderId="15" xfId="0" applyNumberFormat="1" applyFont="1" applyFill="1" applyBorder="1" applyAlignment="1">
      <x:alignment vertical="center" wrapText="1"/>
    </x:xf>
    <x:xf numFmtId="0" fontId="32" fillId="9" borderId="16" xfId="0" applyNumberFormat="1" applyFont="1" applyFill="1" applyBorder="1" applyAlignment="1">
      <x:alignment vertical="center" wrapText="1"/>
    </x:xf>
    <x:xf numFmtId="0" fontId="32" fillId="9" borderId="17" xfId="0" applyNumberFormat="1" applyFont="1" applyFill="1" applyBorder="1" applyAlignment="1">
      <x:alignment vertical="center" wrapText="1"/>
    </x:xf>
    <x:xf numFmtId="0" fontId="32" fillId="9" borderId="15" xfId="0" applyNumberFormat="1" applyFont="1" applyFill="1" applyBorder="1" applyAlignment="1">
      <x:alignment horizontal="center" vertical="center" wrapText="1"/>
    </x:xf>
    <x:xf numFmtId="0" fontId="32" fillId="9" borderId="16" xfId="0" applyNumberFormat="1" applyFont="1" applyFill="1" applyBorder="1" applyAlignment="1">
      <x:alignment horizontal="center" vertical="center" wrapText="1"/>
    </x:xf>
    <x:xf numFmtId="0" fontId="32" fillId="9" borderId="17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top" wrapText="1"/>
    </x:xf>
    <x:xf numFmtId="0" fontId="29" fillId="10" borderId="0" xfId="0" applyNumberFormat="1" applyFont="1" applyFill="1" applyBorder="1" applyAlignment="1">
      <x:alignment vertical="top" wrapText="1"/>
    </x:xf>
    <x:xf numFmtId="0" fontId="29" fillId="11" borderId="0" xfId="0" applyNumberFormat="1" applyFont="1" applyFill="1" applyBorder="1" applyAlignment="1">
      <x:alignment vertical="top" wrapText="1"/>
    </x:xf>
    <x:xf numFmtId="0" fontId="33" fillId="0" borderId="0" xfId="0" applyNumberFormat="1" applyFont="1" applyFill="1" applyBorder="1" applyAlignment="1">
      <x:alignment vertical="center"/>
    </x:xf>
    <x:xf numFmtId="0" fontId="34" fillId="10" borderId="0" xfId="0" applyNumberFormat="1" applyFont="1" applyFill="1" applyBorder="1" applyAlignment="1">
      <x:alignment vertical="top" wrapText="1"/>
    </x:xf>
    <x:xf numFmtId="0" fontId="34" fillId="11" borderId="0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A78BFA"/>
      </x:font>
    </x:dxf>
    <x:dxf>
      <x:font>
        <x:color rgb="FFA78BFA"/>
      </x:font>
      <x:fill>
        <x:patternFill patternType="solid">
          <x:bgColor rgb="FFA78BFA"/>
        </x:patternFill>
      </x:fill>
    </x:dxf>
    <x:dxf>
      <x:font>
        <x:b/>
        <x:color rgb="FF5275FF"/>
      </x:font>
    </x:dxf>
    <x:dxf>
      <x:font>
        <x:color rgb="FF5275FF"/>
      </x:font>
      <x:fill>
        <x:patternFill patternType="solid">
          <x:bgColor rgb="FF5275FF"/>
        </x:patternFill>
      </x:fill>
    </x:dxf>
    <x:dxf>
      <x:font>
        <x:b/>
        <x:color rgb="FF00B79C"/>
      </x:font>
    </x:dxf>
    <x:dxf>
      <x:font>
        <x:color rgb="FF00B79C"/>
      </x:font>
      <x:fill>
        <x:patternFill patternType="solid">
          <x:bgColor rgb="FF00B79C"/>
        </x:patternFill>
      </x:fill>
    </x:dxf>
    <x:dxf>
      <x:font>
        <x:b/>
        <x:color rgb="FFFF6880"/>
      </x:font>
    </x:dxf>
    <x:dxf>
      <x:font>
        <x:color rgb="FFFF6880"/>
      </x:font>
      <x:fill>
        <x:patternFill patternType="solid">
          <x:bgColor rgb="FFFF6880"/>
        </x:patternFill>
      </x:fill>
    </x:dxf>
    <x:dxf>
      <x:font>
        <x:color rgb="FF995600"/>
      </x:font>
      <x:fill>
        <x:patternFill patternType="solid">
          <x:bgColor rgb="FFFFF0DC"/>
        </x:patternFill>
      </x:fill>
    </x:dxf>
    <x:dxf>
      <x:font>
        <x:color rgb="FF44328F"/>
      </x:font>
      <x:fill>
        <x:patternFill patternType="solid">
          <x:bgColor rgb="FFF3F0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fef517d57462b" /><Relationship Type="http://schemas.openxmlformats.org/officeDocument/2006/relationships/theme" Target="/xl/theme/theme1.xml" Id="R561a3a52ce5046cf" /><Relationship Type="http://schemas.openxmlformats.org/officeDocument/2006/relationships/sharedStrings" Target="/xl/sharedStrings.xml" Id="R7fcda9e783b7409c" /><Relationship Type="http://schemas.openxmlformats.org/officeDocument/2006/relationships/worksheet" Target="/xl/worksheets/sheet1.xml" Id="Rf1b823ae791348e7" /><Relationship Type="http://schemas.openxmlformats.org/officeDocument/2006/relationships/worksheet" Target="/xl/worksheets/sheet2.xml" Id="R24401e0434e04e8e" /><Relationship Type="http://schemas.openxmlformats.org/officeDocument/2006/relationships/worksheet" Target="/xl/worksheets/sheet3.xml" Id="R0c3cc38e80954ef9" /><Relationship Type="http://schemas.openxmlformats.org/officeDocument/2006/relationships/worksheet" Target="/xl/worksheets/sheet4.xml" Id="Rd56ea2facc8b4d13" /></Relationships>
</file>

<file path=xl/tables/table1.xml><?xml version="1.0" encoding="utf-8"?>
<x:table xmlns:x="http://schemas.openxmlformats.org/spreadsheetml/2006/main" id="1" name="GapDetails" displayName="GapDetails" ref="A7:I26" headerRowCount="1" totalsRowCount="0" totalsRowShown="0">
  <x:autoFilter ref="A7:I26"/>
  <x:tableColumns count="9">
    <x:tableColumn id="1" name="序号"/>
    <x:tableColumn id="2" name="缺口类型"/>
    <x:tableColumn id="3" name="功能编号"/>
    <x:tableColumn id="4" name="功能名称"/>
    <x:tableColumn id="5" name="相关接口 / 核验编号"/>
    <x:tableColumn id="6" name="已有依据"/>
    <x:tableColumn id="7" name="具体缺口"/>
    <x:tableColumn id="8" name="需接口负责人补充"/>
    <x:tableColumn id="9" name="功能处理边界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eaturePages" displayName="FeaturePages" ref="A5:E24" headerRowCount="1" totalsRowCount="0" totalsRowShown="0">
  <x:autoFilter ref="A5:E24"/>
  <x:tableColumns count="5">
    <x:tableColumn id="1" name="功能编号"/>
    <x:tableColumn id="2" name="功能名称"/>
    <x:tableColumn id="3" name="承载页面与路由"/>
    <x:tableColumn id="4" name="业务场景"/>
    <x:tableColumn id="5" name="验收条件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ApiIndex" displayName="ApiIndex" ref="A5:D22" headerRowCount="1" totalsRowCount="0" totalsRowShown="0">
  <x:autoFilter ref="A5:D22"/>
  <x:tableColumns count="4">
    <x:tableColumn id="1" name="内部编号"/>
    <x:tableColumn id="2" name="接口/缺口名称"/>
    <x:tableColumn id="3" name="已知接口路径"/>
    <x:tableColumn id="4" name="文档/核验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1670effeac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f54e2cb426497a" /></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00561f6532f741d9" /><ns0:Relationship Id="gapSourceLink1" Type="http://schemas.openxmlformats.org/officeDocument/2006/relationships/hyperlink" Target="https://wiki.alicti.cn/html/wiki/&#24037;&#20855;&#26465;/&#24231;&#24109;&#25805;&#20316;.html" TargetMode="External" /><ns0:Relationship Id="gapSourceLink2" Type="http://schemas.openxmlformats.org/officeDocument/2006/relationships/hyperlink" Target="https://wiki.alicti.cn/html/wiki/API/&#24231;&#24109;&#25968;&#25454;&#31649;&#29702;/&#24231;&#24109;&#26032;&#22686;.html" TargetMode="External" /><ns0:Relationship Id="gapSourceLink3" Type="http://schemas.openxmlformats.org/officeDocument/2006/relationships/hyperlink" Target="https://wiki.alicti.cn/html/wiki/API/&#24231;&#24109;&#25968;&#25454;&#31649;&#29702;/&#24231;&#24109;&#26356;&#26032;.html" TargetMode="External" /><ns0:Relationship Id="gapSourceLink4" Type="http://schemas.openxmlformats.org/officeDocument/2006/relationships/hyperlink" Target="https://wiki.alicti.cn/html/wiki/API/&#24231;&#24109;&#25968;&#25454;&#31649;&#29702;/&#25209;&#37327;&#26356;&#26032;&#24231;&#24109;&#25216;&#33021;&#21015;&#34920;.html" TargetMode="External" /><ns0:Relationship Id="gapSourceLink5" Type="http://schemas.openxmlformats.org/officeDocument/2006/relationships/hyperlink" Target="https://wiki.alicti.cn/html/wiki/API/&#37197;&#32622;&#31649;&#29702;/&#20225;&#19994;&#31649;&#29702;/&#33719;&#21462;&#20225;&#19994;&#21495;&#30721;&#21015;&#34920;&#25509;&#21475;.html" TargetMode="External" /><ns0:Relationship Id="gapSourceLink6" Type="http://schemas.openxmlformats.org/officeDocument/2006/relationships/hyperlink" Target="https://wiki.alicti.cn/html/wiki/API/&#39044;&#27979;&#24335;&#22806;&#21628;/&#26032;&#22686;&#20219;&#21153;&#25509;&#21475;.html" TargetMode="External" /><ns0:Relationship Id="gapSourceLink7" Type="http://schemas.openxmlformats.org/officeDocument/2006/relationships/hyperlink" Target="https://wiki.alicti.cn/html/wiki/API/&#39044;&#27979;&#24335;&#22806;&#21628;/&#20219;&#21153;&#21495;&#30721;&#23548;&#20837;&#25509;&#21475;.html" TargetMode="External" /><ns0:Relationship Id="gapSourceLink8" Type="http://schemas.openxmlformats.org/officeDocument/2006/relationships/hyperlink" Target="https://wiki.alicti.cn/html/wiki/API/&#39044;&#27979;&#24335;&#22806;&#21628;/&#20219;&#21153;&#26242;&#20572;&#25509;&#21475;.html" TargetMode="External" /><ns0:Relationship Id="gapSourceLink9" Type="http://schemas.openxmlformats.org/officeDocument/2006/relationships/hyperlink" Target="https://wiki.alicti.cn/html/wiki/API/&#39044;&#27979;&#24335;&#22806;&#21628;/&#20219;&#21153;&#32467;&#26463;&#25509;&#21475;.html" TargetMode="External" /><ns0:Relationship Id="gapSourceLink10" Type="http://schemas.openxmlformats.org/officeDocument/2006/relationships/hyperlink" Target="https://wiki.alicti.cn/html/wiki/API/&#36890;&#35805;&#35760;&#24405;/&#39044;&#27979;&#24335;&#22806;&#21628;/&#39044;&#27979;&#22806;&#21628;&#36890;&#35805;&#35760;&#24405;&#25509;&#21475;.html" TargetMode="External" /><ns0:Relationship Id="gapSourceLink11" Type="http://schemas.openxmlformats.org/officeDocument/2006/relationships/hyperlink" Target="https://wiki.alicti.cn/html/wiki/API/&#36890;&#35805;&#35760;&#24405;/&#26469;&#30005;/&#23458;&#25143;&#26469;&#30005;&#35760;&#24405;&#25509;&#21475;.html" TargetMode="External" /><ns0:Relationship Id="gapSourceLink12" Type="http://schemas.openxmlformats.org/officeDocument/2006/relationships/hyperlink" Target="https://wiki.alicti.cn/html/wiki/API/&#36890;&#35805;&#35760;&#24405;/&#33719;&#21462;&#36890;&#35805;&#24405;&#38899;&#22320;&#22336;&#25509;&#21475;.html" TargetMode="External" /><ns0:Relationship Id="gapSourceLink13" Type="http://schemas.openxmlformats.org/officeDocument/2006/relationships/hyperlink" Target="https://wiki.alicti.cn/html/wiki/API/ASR&#35821;&#38899;&#36716;&#20889;/ASR&#25968;&#25454;&#33719;&#21462;&#25509;&#21475;.html" TargetMode="External" /><ns0:Relationship Id="gapSourceLink14" Type="http://schemas.openxmlformats.org/officeDocument/2006/relationships/hyperlink" Target="https://wiki.alicti.cn/html/wiki/API/&#37197;&#32622;&#31649;&#29702;/&#35821;&#38899;&#23548;&#33322;&#31649;&#29702;/&#23548;&#20837;ivr&#20449;&#24687;&#25509;&#21475;.html" TargetMode="External" /><ns0:Relationship Id="gapSourceLink15" Type="http://schemas.openxmlformats.org/officeDocument/2006/relationships/hyperlink" Target="https://wiki.alicti.cn/html/wiki/API/&#36890;&#35805;&#35760;&#24405;/&#33719;&#21462;IVR&#27969;&#31243;&#25509;&#21475;.html" TargetMode="External" /></ns0:Relationships>
</file>

<file path=xl/worksheets/sheet1.xml><?xml version="1.0" encoding="utf-8"?>
<x:worksheet xmlns:x="http://schemas.openxmlformats.org/spreadsheetml/2006/main">
  <x:sheetPr>
    <x:tabColor rgb="FF44328F"/>
  </x:sheetPr>
  <x:sheetViews>
    <x:sheetView showGridLines="0" workbookViewId="0">
      <x:pane ySplit="9" topLeftCell="A10" activePane="bottomLeft" state="frozen"/>
    </x:sheetView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48" t="str">
        <x:v>AliCti 接口缺口核对计划</x:v>
      </x:c>
      <x:c r="C2" s="48" t="str">
        <x:v>AliCti 接口缺口核对计划</x:v>
      </x:c>
      <x:c r="D2" s="48" t="str">
        <x:v>AliCti 接口缺口核对计划</x:v>
      </x:c>
      <x:c r="E2" s="48" t="str">
        <x:v>AliCti 接口缺口核对计划</x:v>
      </x:c>
      <x:c r="F2" s="48" t="str">
        <x:v>AliCti 接口缺口核对计划</x:v>
      </x:c>
      <x:c r="G2" s="48" t="str">
        <x:v>AliCti 接口缺口核对计划</x:v>
      </x:c>
      <x:c r="H2" s="48" t="str">
        <x:v>AliCti 接口缺口核对计划</x:v>
      </x:c>
      <x:c r="I2" s="48" t="str">
        <x:v>AliCti 接口缺口核对计划</x:v>
      </x:c>
      <x:c r="J2" s="48" t="str">
        <x:v>AliCti 接口缺口核对计划</x:v>
      </x:c>
      <x:c r="K2" s="48" t="str">
        <x:v>AliCti 接口缺口核对计划</x:v>
      </x:c>
      <x:c r="L2" s="48" t="str">
        <x:v>AliCti 接口缺口核对计划</x:v>
      </x:c>
      <x:c r="M2" s="48" t="str">
        <x:v>AliCti 接口缺口核对计划</x:v>
      </x:c>
      <x:c r="N2" s="48" t="str">
        <x:v>AliCti 接口缺口核对计划</x:v>
      </x:c>
      <x:c r="O2" s="48" t="str">
        <x:v>AliCti 接口缺口核对计划</x:v>
      </x:c>
      <x:c r="P2" s="48" t="str">
        <x:v>AliCti 接口缺口核对计划</x:v>
      </x:c>
      <x:c r="Q2" s="48" t="str">
        <x:v>AliCti 接口缺口核对计划</x:v>
      </x:c>
      <x:c r="R2" s="48" t="str">
        <x:v>AliCti 接口缺口核对计划</x:v>
      </x:c>
      <x:c r="S2" s="49" t="str">
        <x:v>Project Plan</x:v>
      </x:c>
      <x:c r="T2" s="49" t="str">
        <x:v>Project Plan</x:v>
      </x:c>
      <x:c r="U2" s="49" t="str">
        <x:v>Project Plan</x:v>
      </x:c>
      <x:c r="V2" s="49" t="str">
        <x:v>Project Plan</x:v>
      </x:c>
      <x:c r="W2" s="49" t="str">
        <x:v>Project Plan</x:v>
      </x:c>
      <x:c r="X2" s="49" t="str">
        <x:v>Project Plan</x:v>
      </x:c>
      <x:c r="Y2" s="49" t="str">
        <x:v>Project Plan</x:v>
      </x:c>
      <x:c r="Z2" s="49" t="str">
        <x:v>Project Plan</x:v>
      </x:c>
      <x:c r="AA2" s="49" t="str">
        <x:v>Project Plan</x:v>
      </x:c>
      <x:c r="AB2" s="49" t="str">
        <x:v>Project Plan</x:v>
      </x:c>
      <x:c r="AC2" s="49" t="str">
        <x:v>Project Plan</x:v>
      </x:c>
      <x:c r="AD2" s="49" t="str">
        <x:v>Project Plan</x:v>
      </x:c>
    </x:row>
    <x:row r="3"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  <x:c r="Z3" s="50"/>
      <x:c r="AA3" s="50"/>
      <x:c r="AB3" s="50"/>
      <x:c r="AC3" s="50"/>
      <x:c r="AD3" s="50"/>
    </x:row>
    <x:row r="4" ht="22" customHeight="1">
      <x:c r="B4" s="51" t="str">
        <x:v>项目资料</x:v>
      </x:c>
      <x:c r="C4" s="51" t="str">
        <x:v>项目资料</x:v>
      </x:c>
      <x:c r="D4" s="51" t="str">
        <x:v>项目资料</x:v>
      </x:c>
      <x:c r="E4" s="51" t="str">
        <x:v>项目资料</x:v>
      </x:c>
      <x:c r="F4" s="51" t="str">
        <x:v>项目资料</x:v>
      </x:c>
      <x:c r="G4" s="51" t="str">
        <x:v>项目资料</x:v>
      </x:c>
      <x:c r="H4" s="51" t="str">
        <x:v>项目资料</x:v>
      </x:c>
      <x:c r="I4" s="51" t="str">
        <x:v>项目资料</x:v>
      </x:c>
      <x:c r="J4" s="50"/>
      <x:c r="K4" s="51" t="str">
        <x:v>核对进展</x:v>
      </x:c>
      <x:c r="L4" s="51" t="str">
        <x:v>核对进展</x:v>
      </x:c>
      <x:c r="M4" s="51" t="str">
        <x:v>核对进展</x:v>
      </x:c>
      <x:c r="N4" s="51" t="str">
        <x:v>核对进展</x:v>
      </x:c>
      <x:c r="O4" s="51" t="str">
        <x:v>核对进展</x:v>
      </x:c>
      <x:c r="P4" s="51" t="str">
        <x:v>核对进展</x:v>
      </x:c>
      <x:c r="Q4" s="51" t="str">
        <x:v>核对进展</x:v>
      </x:c>
      <x:c r="R4" s="51" t="str">
        <x:v>核对进展</x:v>
      </x:c>
      <x:c r="S4" s="51" t="str">
        <x:v>核对进展</x:v>
      </x:c>
      <x:c r="T4" s="51" t="str">
        <x:v>核对进展</x:v>
      </x:c>
      <x:c r="U4" s="51" t="str">
        <x:v>核对进展</x:v>
      </x:c>
      <x:c r="V4" s="51" t="str">
        <x:v>核对进展</x:v>
      </x:c>
      <x:c r="W4" s="51" t="str">
        <x:v>核对进展</x:v>
      </x:c>
      <x:c r="X4" s="51" t="str">
        <x:v>核对进展</x:v>
      </x:c>
      <x:c r="Y4" s="51" t="str">
        <x:v>核对进展</x:v>
      </x:c>
      <x:c r="Z4" s="51" t="str">
        <x:v>核对进展</x:v>
      </x:c>
      <x:c r="AA4" s="51" t="str">
        <x:v>核对进展</x:v>
      </x:c>
      <x:c r="AB4" s="51" t="str">
        <x:v>核对进展</x:v>
      </x:c>
      <x:c r="AC4" s="51" t="str">
        <x:v>核对进展</x:v>
      </x:c>
      <x:c r="AD4" s="51" t="str">
        <x:v>核对进展</x:v>
      </x:c>
    </x:row>
    <x:row r="5" ht="22" customHeight="1">
      <x:c r="B5" s="52" t="str">
        <x:v>项目名称</x:v>
      </x:c>
      <x:c r="C5" s="53" t="str">
        <x:v>AliCti 独立原型</x:v>
      </x:c>
      <x:c r="D5" s="53" t="str">
        <x:v>AliCti 独立原型</x:v>
      </x:c>
      <x:c r="E5" s="53" t="str">
        <x:v>AliCti 独立原型</x:v>
      </x:c>
      <x:c r="F5" s="54" t="str">
        <x:v>负责人</x:v>
      </x:c>
      <x:c r="G5" s="55" t="str">
        <x:v>负责人</x:v>
      </x:c>
      <x:c r="H5" s="53" t="str"/>
      <x:c r="I5" s="53" t="str"/>
      <x:c r="J5" s="50"/>
      <x:c r="K5" s="56" t="str">
        <x:v>核对功能</x:v>
      </x:c>
      <x:c r="L5" s="57" t="str">
        <x:v>核对功能</x:v>
      </x:c>
      <x:c r="M5" s="57" t="str">
        <x:v>核对功能</x:v>
      </x:c>
      <x:c r="N5" s="58" t="str">
        <x:v>核对功能</x:v>
      </x:c>
      <x:c r="O5" s="56" t="str">
        <x:v>待确认</x:v>
      </x:c>
      <x:c r="P5" s="57" t="str">
        <x:v>待确认</x:v>
      </x:c>
      <x:c r="Q5" s="57" t="str">
        <x:v>待确认</x:v>
      </x:c>
      <x:c r="R5" s="58" t="str">
        <x:v>待确认</x:v>
      </x:c>
      <x:c r="S5" s="56" t="str">
        <x:v>核对中</x:v>
      </x:c>
      <x:c r="T5" s="57" t="str">
        <x:v>核对中</x:v>
      </x:c>
      <x:c r="U5" s="57" t="str">
        <x:v>核对中</x:v>
      </x:c>
      <x:c r="V5" s="58" t="str">
        <x:v>核对中</x:v>
      </x:c>
      <x:c r="W5" s="56" t="str">
        <x:v>已确认</x:v>
      </x:c>
      <x:c r="X5" s="57" t="str">
        <x:v>已确认</x:v>
      </x:c>
      <x:c r="Y5" s="57" t="str">
        <x:v>已确认</x:v>
      </x:c>
      <x:c r="Z5" s="58" t="str">
        <x:v>已确认</x:v>
      </x:c>
      <x:c r="AA5" s="56" t="str">
        <x:v>不支持</x:v>
      </x:c>
      <x:c r="AB5" s="57" t="str">
        <x:v>不支持</x:v>
      </x:c>
      <x:c r="AC5" s="57" t="str">
        <x:v>不支持</x:v>
      </x:c>
      <x:c r="AD5" s="58" t="str">
        <x:v>不支持</x:v>
      </x:c>
    </x:row>
    <x:row r="6" ht="22" customHeight="1">
      <x:c r="B6" s="52" t="str">
        <x:v>核验基准日</x:v>
      </x:c>
      <x:c r="C6" s="93" t="n">
        <x:v>46276</x:v>
      </x:c>
      <x:c r="D6" s="93" t="n">
        <x:v>46276</x:v>
      </x:c>
      <x:c r="E6" s="93" t="n">
        <x:v>46276</x:v>
      </x:c>
      <x:c r="F6" s="54" t="str">
        <x:v>排期起点</x:v>
      </x:c>
      <x:c r="G6" s="55" t="str">
        <x:v>排期起点</x:v>
      </x:c>
      <x:c r="H6" s="59" t="str"/>
      <x:c r="I6" s="59" t="str"/>
      <x:c r="J6" s="50"/>
      <x:c r="K6" s="60" t="n">
        <x:f>COUNTA(C10:C39)</x:f>
        <x:v>19</x:v>
      </x:c>
      <x:c r="L6" s="61"/>
      <x:c r="M6" s="61"/>
      <x:c r="N6" s="62"/>
      <x:c r="O6" s="63" t="n">
        <x:f>COUNTIF(E10:E39,"待确认")</x:f>
        <x:v>19</x:v>
      </x:c>
      <x:c r="P6" s="64"/>
      <x:c r="Q6" s="64"/>
      <x:c r="R6" s="65"/>
      <x:c r="S6" s="66" t="n">
        <x:f>COUNTIF(E10:E39,"核对中")</x:f>
        <x:v>0</x:v>
      </x:c>
      <x:c r="T6" s="67"/>
      <x:c r="U6" s="67"/>
      <x:c r="V6" s="68"/>
      <x:c r="W6" s="69" t="n">
        <x:f>COUNTIF(E10:E39,"已确认")</x:f>
        <x:v>0</x:v>
      </x:c>
      <x:c r="X6" s="70"/>
      <x:c r="Y6" s="70"/>
      <x:c r="Z6" s="71"/>
      <x:c r="AA6" s="69" t="n">
        <x:f>COUNTIF(E10:E39,"不支持")</x:f>
        <x:v>0</x:v>
      </x:c>
      <x:c r="AB6" s="70"/>
      <x:c r="AC6" s="70"/>
      <x:c r="AD6" s="71"/>
    </x:row>
    <x:row r="7">
      <x:c r="B7" s="50"/>
      <x:c r="C7" s="50"/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  <x:c r="Y7" s="50"/>
      <x:c r="Z7" s="50"/>
      <x:c r="AA7" s="50"/>
      <x:c r="AB7" s="50"/>
      <x:c r="AC7" s="50"/>
      <x:c r="AD7" s="50"/>
    </x:row>
    <x:row r="8" ht="22" customHeight="1">
      <x:c r="B8" s="51" t="str">
        <x:v>接口缺口核对</x:v>
      </x:c>
      <x:c r="C8" s="51" t="str">
        <x:v>接口缺口核对</x:v>
      </x:c>
      <x:c r="D8" s="51" t="str">
        <x:v>接口缺口核对</x:v>
      </x:c>
      <x:c r="E8" s="51" t="str">
        <x:v>接口缺口核对</x:v>
      </x:c>
      <x:c r="F8" s="51" t="str">
        <x:v>接口缺口核对</x:v>
      </x:c>
      <x:c r="G8" s="51" t="str">
        <x:v>接口缺口核对</x:v>
      </x:c>
      <x:c r="H8" s="51" t="str">
        <x:v>接口缺口核对</x:v>
      </x:c>
      <x:c r="I8" s="51" t="str">
        <x:v>接口缺口核对</x:v>
      </x:c>
      <x:c r="J8" s="50"/>
      <x:c r="K8" s="51" t="str">
        <x:v>20周排期（填写日期后显示）</x:v>
      </x:c>
      <x:c r="L8" s="51" t="str">
        <x:v>20周排期（填写日期后显示）</x:v>
      </x:c>
      <x:c r="M8" s="51" t="str">
        <x:v>20周排期（填写日期后显示）</x:v>
      </x:c>
      <x:c r="N8" s="51" t="str">
        <x:v>20周排期（填写日期后显示）</x:v>
      </x:c>
      <x:c r="O8" s="51" t="str">
        <x:v>20周排期（填写日期后显示）</x:v>
      </x:c>
      <x:c r="P8" s="51" t="str">
        <x:v>20周排期（填写日期后显示）</x:v>
      </x:c>
      <x:c r="Q8" s="51" t="str">
        <x:v>20周排期（填写日期后显示）</x:v>
      </x:c>
      <x:c r="R8" s="51" t="str">
        <x:v>20周排期（填写日期后显示）</x:v>
      </x:c>
      <x:c r="S8" s="51" t="str">
        <x:v>20周排期（填写日期后显示）</x:v>
      </x:c>
      <x:c r="T8" s="51" t="str">
        <x:v>20周排期（填写日期后显示）</x:v>
      </x:c>
      <x:c r="U8" s="51" t="str">
        <x:v>20周排期（填写日期后显示）</x:v>
      </x:c>
      <x:c r="V8" s="51" t="str">
        <x:v>20周排期（填写日期后显示）</x:v>
      </x:c>
      <x:c r="W8" s="51" t="str">
        <x:v>20周排期（填写日期后显示）</x:v>
      </x:c>
      <x:c r="X8" s="51" t="str">
        <x:v>20周排期（填写日期后显示）</x:v>
      </x:c>
      <x:c r="Y8" s="51" t="str">
        <x:v>20周排期（填写日期后显示）</x:v>
      </x:c>
      <x:c r="Z8" s="51" t="str">
        <x:v>20周排期（填写日期后显示）</x:v>
      </x:c>
      <x:c r="AA8" s="51" t="str">
        <x:v>20周排期（填写日期后显示）</x:v>
      </x:c>
      <x:c r="AB8" s="51" t="str">
        <x:v>20周排期（填写日期后显示）</x:v>
      </x:c>
      <x:c r="AC8" s="51" t="str">
        <x:v>20周排期（填写日期后显示）</x:v>
      </x:c>
      <x:c r="AD8" s="51" t="str">
        <x:v>20周排期（填写日期后显示）</x:v>
      </x:c>
    </x:row>
    <x:row r="9" ht="28" customHeight="1">
      <x:c r="B9" s="72" t="str">
        <x:v>模块</x:v>
      </x:c>
      <x:c r="C9" s="72" t="str">
        <x:v>功能编号与名称</x:v>
      </x:c>
      <x:c r="D9" s="72" t="str">
        <x:v>负责人</x:v>
      </x:c>
      <x:c r="E9" s="72" t="str">
        <x:v>核对状态</x:v>
      </x:c>
      <x:c r="F9" s="72" t="str">
        <x:v>优先级</x:v>
      </x:c>
      <x:c r="G9" s="72" t="str">
        <x:v>开始日期</x:v>
      </x:c>
      <x:c r="H9" s="72" t="str">
        <x:v>结束日期</x:v>
      </x:c>
      <x:c r="I9" s="72" t="str">
        <x:v>天数</x:v>
      </x:c>
      <x:c r="J9" s="50"/>
      <x:c r="K9" s="100" t="str">
        <x:f>IF($H$6="","",$H$6+0)</x:f>
      </x:c>
      <x:c r="L9" s="100" t="str">
        <x:f t="shared" ref="L9:AD9" si="0">IF($H$6="","",$H$6+7)</x:f>
      </x:c>
      <x:c r="M9" s="100" t="str">
        <x:f t="shared" si="0">IF($H$6="","",$H$6+14)</x:f>
      </x:c>
      <x:c r="N9" s="100" t="str">
        <x:f t="shared" si="0">IF($H$6="","",$H$6+21)</x:f>
      </x:c>
      <x:c r="O9" s="100" t="str">
        <x:f t="shared" si="0">IF($H$6="","",$H$6+28)</x:f>
      </x:c>
      <x:c r="P9" s="100" t="str">
        <x:f t="shared" si="0">IF($H$6="","",$H$6+35)</x:f>
      </x:c>
      <x:c r="Q9" s="100" t="str">
        <x:f t="shared" si="0">IF($H$6="","",$H$6+42)</x:f>
      </x:c>
      <x:c r="R9" s="100" t="str">
        <x:f t="shared" si="0">IF($H$6="","",$H$6+49)</x:f>
      </x:c>
      <x:c r="S9" s="100" t="str">
        <x:f t="shared" si="0">IF($H$6="","",$H$6+56)</x:f>
      </x:c>
      <x:c r="T9" s="100" t="str">
        <x:f t="shared" si="0">IF($H$6="","",$H$6+63)</x:f>
      </x:c>
      <x:c r="U9" s="100" t="str">
        <x:f t="shared" si="0">IF($H$6="","",$H$6+70)</x:f>
      </x:c>
      <x:c r="V9" s="100" t="str">
        <x:f t="shared" si="0">IF($H$6="","",$H$6+77)</x:f>
      </x:c>
      <x:c r="W9" s="100" t="str">
        <x:f t="shared" si="0">IF($H$6="","",$H$6+84)</x:f>
      </x:c>
      <x:c r="X9" s="100" t="str">
        <x:f t="shared" si="0">IF($H$6="","",$H$6+91)</x:f>
      </x:c>
      <x:c r="Y9" s="100" t="str">
        <x:f t="shared" si="0">IF($H$6="","",$H$6+98)</x:f>
      </x:c>
      <x:c r="Z9" s="100" t="str">
        <x:f t="shared" si="0">IF($H$6="","",$H$6+105)</x:f>
      </x:c>
      <x:c r="AA9" s="100" t="str">
        <x:f t="shared" si="0">IF($H$6="","",$H$6+112)</x:f>
      </x:c>
      <x:c r="AB9" s="100" t="str">
        <x:f t="shared" si="0">IF($H$6="","",$H$6+119)</x:f>
      </x:c>
      <x:c r="AC9" s="100" t="str">
        <x:f t="shared" si="0">IF($H$6="","",$H$6+126)</x:f>
      </x:c>
      <x:c r="AD9" s="100" t="str">
        <x:f t="shared" si="0">IF($H$6="","",$H$6+133)</x:f>
      </x:c>
    </x:row>
    <x:row r="10" ht="36" customHeight="1">
      <x:c r="B10" s="74" t="str">
        <x:v>坐席</x:v>
      </x:c>
      <x:c r="C10" s="94" t="str">
        <x:v>FUNC-211 导入已有坐席</x:v>
      </x:c>
      <x:c r="D10" s="76"/>
      <x:c r="E10" s="76" t="str">
        <x:v>待确认</x:v>
      </x:c>
      <x:c r="F10" s="76"/>
      <x:c r="G10" s="96"/>
      <x:c r="H10" s="96"/>
      <x:c r="I10" s="78" t="str">
        <x:f t="shared" ref="I10:I39" si="1">IF(OR(G10="",H10="",H10&lt;G10),"",H10-G10+1)</x:f>
      </x:c>
      <x:c r="J10" s="50"/>
      <x:c r="K10" s="79" t="str">
        <x:f t="shared" ref="K10:T19" si="2">IF(OR($H$6="",$G10="",$H10="",$H10&lt;$G10),"",IF(AND(K$9&lt;=$H10,K$9+6&gt;=$G10),1,""))</x:f>
      </x:c>
      <x:c r="L10" s="80" t="str">
        <x:f t="shared" si="2">IF(OR($H$6="",$G10="",$H10="",$H10&lt;$G10),"",IF(AND(L$9&lt;=$H10,L$9+6&gt;=$G10),1,""))</x:f>
      </x:c>
      <x:c r="M10" s="79" t="str">
        <x:f t="shared" si="2">IF(OR($H$6="",$G10="",$H10="",$H10&lt;$G10),"",IF(AND(M$9&lt;=$H10,M$9+6&gt;=$G10),1,""))</x:f>
      </x:c>
      <x:c r="N10" s="80" t="str">
        <x:f t="shared" si="2">IF(OR($H$6="",$G10="",$H10="",$H10&lt;$G10),"",IF(AND(N$9&lt;=$H10,N$9+6&gt;=$G10),1,""))</x:f>
      </x:c>
      <x:c r="O10" s="79" t="str">
        <x:f t="shared" si="2">IF(OR($H$6="",$G10="",$H10="",$H10&lt;$G10),"",IF(AND(O$9&lt;=$H10,O$9+6&gt;=$G10),1,""))</x:f>
      </x:c>
      <x:c r="P10" s="80" t="str">
        <x:f t="shared" si="2">IF(OR($H$6="",$G10="",$H10="",$H10&lt;$G10),"",IF(AND(P$9&lt;=$H10,P$9+6&gt;=$G10),1,""))</x:f>
      </x:c>
      <x:c r="Q10" s="79" t="str">
        <x:f t="shared" si="2">IF(OR($H$6="",$G10="",$H10="",$H10&lt;$G10),"",IF(AND(Q$9&lt;=$H10,Q$9+6&gt;=$G10),1,""))</x:f>
      </x:c>
      <x:c r="R10" s="80" t="str">
        <x:f t="shared" si="2">IF(OR($H$6="",$G10="",$H10="",$H10&lt;$G10),"",IF(AND(R$9&lt;=$H10,R$9+6&gt;=$G10),1,""))</x:f>
      </x:c>
      <x:c r="S10" s="79" t="str">
        <x:f t="shared" si="2">IF(OR($H$6="",$G10="",$H10="",$H10&lt;$G10),"",IF(AND(S$9&lt;=$H10,S$9+6&gt;=$G10),1,""))</x:f>
      </x:c>
      <x:c r="T10" s="80" t="str">
        <x:f t="shared" si="2">IF(OR($H$6="",$G10="",$H10="",$H10&lt;$G10),"",IF(AND(T$9&lt;=$H10,T$9+6&gt;=$G10),1,""))</x:f>
      </x:c>
      <x:c r="U10" s="79" t="str">
        <x:f t="shared" ref="U10:AD19" si="3">IF(OR($H$6="",$G10="",$H10="",$H10&lt;$G10),"",IF(AND(U$9&lt;=$H10,U$9+6&gt;=$G10),1,""))</x:f>
      </x:c>
      <x:c r="V10" s="80" t="str">
        <x:f t="shared" si="3">IF(OR($H$6="",$G10="",$H10="",$H10&lt;$G10),"",IF(AND(V$9&lt;=$H10,V$9+6&gt;=$G10),1,""))</x:f>
      </x:c>
      <x:c r="W10" s="79" t="str">
        <x:f t="shared" si="3">IF(OR($H$6="",$G10="",$H10="",$H10&lt;$G10),"",IF(AND(W$9&lt;=$H10,W$9+6&gt;=$G10),1,""))</x:f>
      </x:c>
      <x:c r="X10" s="80" t="str">
        <x:f t="shared" si="3">IF(OR($H$6="",$G10="",$H10="",$H10&lt;$G10),"",IF(AND(X$9&lt;=$H10,X$9+6&gt;=$G10),1,""))</x:f>
      </x:c>
      <x:c r="Y10" s="79" t="str">
        <x:f t="shared" si="3">IF(OR($H$6="",$G10="",$H10="",$H10&lt;$G10),"",IF(AND(Y$9&lt;=$H10,Y$9+6&gt;=$G10),1,""))</x:f>
      </x:c>
      <x:c r="Z10" s="80" t="str">
        <x:f t="shared" si="3">IF(OR($H$6="",$G10="",$H10="",$H10&lt;$G10),"",IF(AND(Z$9&lt;=$H10,Z$9+6&gt;=$G10),1,""))</x:f>
      </x:c>
      <x:c r="AA10" s="79" t="str">
        <x:f t="shared" si="3">IF(OR($H$6="",$G10="",$H10="",$H10&lt;$G10),"",IF(AND(AA$9&lt;=$H10,AA$9+6&gt;=$G10),1,""))</x:f>
      </x:c>
      <x:c r="AB10" s="80" t="str">
        <x:f t="shared" si="3">IF(OR($H$6="",$G10="",$H10="",$H10&lt;$G10),"",IF(AND(AB$9&lt;=$H10,AB$9+6&gt;=$G10),1,""))</x:f>
      </x:c>
      <x:c r="AC10" s="79" t="str">
        <x:f t="shared" si="3">IF(OR($H$6="",$G10="",$H10="",$H10&lt;$G10),"",IF(AND(AC$9&lt;=$H10,AC$9+6&gt;=$G10),1,""))</x:f>
      </x:c>
      <x:c r="AD10" s="80" t="str">
        <x:f t="shared" si="3">IF(OR($H$6="",$G10="",$H10="",$H10&lt;$G10),"",IF(AND(AD$9&lt;=$H10,AD$9+6&gt;=$G10),1,""))</x:f>
      </x:c>
    </x:row>
    <x:row r="11" ht="36" customHeight="1">
      <x:c r="B11" s="81" t="str">
        <x:v>坐席</x:v>
      </x:c>
      <x:c r="C11" s="95" t="str">
        <x:v>FUNC-213 重新同步失败项</x:v>
      </x:c>
      <x:c r="D11" s="83"/>
      <x:c r="E11" s="83" t="str">
        <x:v>待确认</x:v>
      </x:c>
      <x:c r="F11" s="83"/>
      <x:c r="G11" s="97"/>
      <x:c r="H11" s="97"/>
      <x:c r="I11" s="78" t="str">
        <x:f t="shared" si="1">IF(OR(G11="",H11="",H11&lt;G11),"",H11-G11+1)</x:f>
      </x:c>
      <x:c r="J11" s="50"/>
      <x:c r="K11" s="79" t="str">
        <x:f t="shared" si="2">IF(OR($H$6="",$G11="",$H11="",$H11&lt;$G11),"",IF(AND(K$9&lt;=$H11,K$9+6&gt;=$G11),1,""))</x:f>
      </x:c>
      <x:c r="L11" s="80" t="str">
        <x:f t="shared" si="2">IF(OR($H$6="",$G11="",$H11="",$H11&lt;$G11),"",IF(AND(L$9&lt;=$H11,L$9+6&gt;=$G11),1,""))</x:f>
      </x:c>
      <x:c r="M11" s="79" t="str">
        <x:f t="shared" si="2">IF(OR($H$6="",$G11="",$H11="",$H11&lt;$G11),"",IF(AND(M$9&lt;=$H11,M$9+6&gt;=$G11),1,""))</x:f>
      </x:c>
      <x:c r="N11" s="80" t="str">
        <x:f t="shared" si="2">IF(OR($H$6="",$G11="",$H11="",$H11&lt;$G11),"",IF(AND(N$9&lt;=$H11,N$9+6&gt;=$G11),1,""))</x:f>
      </x:c>
      <x:c r="O11" s="79" t="str">
        <x:f t="shared" si="2">IF(OR($H$6="",$G11="",$H11="",$H11&lt;$G11),"",IF(AND(O$9&lt;=$H11,O$9+6&gt;=$G11),1,""))</x:f>
      </x:c>
      <x:c r="P11" s="80" t="str">
        <x:f t="shared" si="2">IF(OR($H$6="",$G11="",$H11="",$H11&lt;$G11),"",IF(AND(P$9&lt;=$H11,P$9+6&gt;=$G11),1,""))</x:f>
      </x:c>
      <x:c r="Q11" s="79" t="str">
        <x:f t="shared" si="2">IF(OR($H$6="",$G11="",$H11="",$H11&lt;$G11),"",IF(AND(Q$9&lt;=$H11,Q$9+6&gt;=$G11),1,""))</x:f>
      </x:c>
      <x:c r="R11" s="80" t="str">
        <x:f t="shared" si="2">IF(OR($H$6="",$G11="",$H11="",$H11&lt;$G11),"",IF(AND(R$9&lt;=$H11,R$9+6&gt;=$G11),1,""))</x:f>
      </x:c>
      <x:c r="S11" s="79" t="str">
        <x:f t="shared" si="2">IF(OR($H$6="",$G11="",$H11="",$H11&lt;$G11),"",IF(AND(S$9&lt;=$H11,S$9+6&gt;=$G11),1,""))</x:f>
      </x:c>
      <x:c r="T11" s="80" t="str">
        <x:f t="shared" si="2">IF(OR($H$6="",$G11="",$H11="",$H11&lt;$G11),"",IF(AND(T$9&lt;=$H11,T$9+6&gt;=$G11),1,""))</x:f>
      </x:c>
      <x:c r="U11" s="79" t="str">
        <x:f t="shared" si="3">IF(OR($H$6="",$G11="",$H11="",$H11&lt;$G11),"",IF(AND(U$9&lt;=$H11,U$9+6&gt;=$G11),1,""))</x:f>
      </x:c>
      <x:c r="V11" s="80" t="str">
        <x:f t="shared" si="3">IF(OR($H$6="",$G11="",$H11="",$H11&lt;$G11),"",IF(AND(V$9&lt;=$H11,V$9+6&gt;=$G11),1,""))</x:f>
      </x:c>
      <x:c r="W11" s="79" t="str">
        <x:f t="shared" si="3">IF(OR($H$6="",$G11="",$H11="",$H11&lt;$G11),"",IF(AND(W$9&lt;=$H11,W$9+6&gt;=$G11),1,""))</x:f>
      </x:c>
      <x:c r="X11" s="80" t="str">
        <x:f t="shared" si="3">IF(OR($H$6="",$G11="",$H11="",$H11&lt;$G11),"",IF(AND(X$9&lt;=$H11,X$9+6&gt;=$G11),1,""))</x:f>
      </x:c>
      <x:c r="Y11" s="79" t="str">
        <x:f t="shared" si="3">IF(OR($H$6="",$G11="",$H11="",$H11&lt;$G11),"",IF(AND(Y$9&lt;=$H11,Y$9+6&gt;=$G11),1,""))</x:f>
      </x:c>
      <x:c r="Z11" s="80" t="str">
        <x:f t="shared" si="3">IF(OR($H$6="",$G11="",$H11="",$H11&lt;$G11),"",IF(AND(Z$9&lt;=$H11,Z$9+6&gt;=$G11),1,""))</x:f>
      </x:c>
      <x:c r="AA11" s="79" t="str">
        <x:f t="shared" si="3">IF(OR($H$6="",$G11="",$H11="",$H11&lt;$G11),"",IF(AND(AA$9&lt;=$H11,AA$9+6&gt;=$G11),1,""))</x:f>
      </x:c>
      <x:c r="AB11" s="80" t="str">
        <x:f t="shared" si="3">IF(OR($H$6="",$G11="",$H11="",$H11&lt;$G11),"",IF(AND(AB$9&lt;=$H11,AB$9+6&gt;=$G11),1,""))</x:f>
      </x:c>
      <x:c r="AC11" s="79" t="str">
        <x:f t="shared" si="3">IF(OR($H$6="",$G11="",$H11="",$H11&lt;$G11),"",IF(AND(AC$9&lt;=$H11,AC$9+6&gt;=$G11),1,""))</x:f>
      </x:c>
      <x:c r="AD11" s="80" t="str">
        <x:f t="shared" si="3">IF(OR($H$6="",$G11="",$H11="",$H11&lt;$G11),"",IF(AND(AD$9&lt;=$H11,AD$9+6&gt;=$G11),1,""))</x:f>
      </x:c>
    </x:row>
    <x:row r="12" ht="36" customHeight="1">
      <x:c r="B12" s="74" t="str">
        <x:v>坐席</x:v>
      </x:c>
      <x:c r="C12" s="94" t="str">
        <x:v>FUNC-216 删除坐席关联</x:v>
      </x:c>
      <x:c r="D12" s="76"/>
      <x:c r="E12" s="76" t="str">
        <x:v>待确认</x:v>
      </x:c>
      <x:c r="F12" s="76"/>
      <x:c r="G12" s="96"/>
      <x:c r="H12" s="96"/>
      <x:c r="I12" s="78" t="str">
        <x:f t="shared" si="1">IF(OR(G12="",H12="",H12&lt;G12),"",H12-G12+1)</x:f>
      </x:c>
      <x:c r="J12" s="50"/>
      <x:c r="K12" s="79" t="str">
        <x:f t="shared" si="2">IF(OR($H$6="",$G12="",$H12="",$H12&lt;$G12),"",IF(AND(K$9&lt;=$H12,K$9+6&gt;=$G12),1,""))</x:f>
      </x:c>
      <x:c r="L12" s="80" t="str">
        <x:f t="shared" si="2">IF(OR($H$6="",$G12="",$H12="",$H12&lt;$G12),"",IF(AND(L$9&lt;=$H12,L$9+6&gt;=$G12),1,""))</x:f>
      </x:c>
      <x:c r="M12" s="79" t="str">
        <x:f t="shared" si="2">IF(OR($H$6="",$G12="",$H12="",$H12&lt;$G12),"",IF(AND(M$9&lt;=$H12,M$9+6&gt;=$G12),1,""))</x:f>
      </x:c>
      <x:c r="N12" s="80" t="str">
        <x:f t="shared" si="2">IF(OR($H$6="",$G12="",$H12="",$H12&lt;$G12),"",IF(AND(N$9&lt;=$H12,N$9+6&gt;=$G12),1,""))</x:f>
      </x:c>
      <x:c r="O12" s="79" t="str">
        <x:f t="shared" si="2">IF(OR($H$6="",$G12="",$H12="",$H12&lt;$G12),"",IF(AND(O$9&lt;=$H12,O$9+6&gt;=$G12),1,""))</x:f>
      </x:c>
      <x:c r="P12" s="80" t="str">
        <x:f t="shared" si="2">IF(OR($H$6="",$G12="",$H12="",$H12&lt;$G12),"",IF(AND(P$9&lt;=$H12,P$9+6&gt;=$G12),1,""))</x:f>
      </x:c>
      <x:c r="Q12" s="79" t="str">
        <x:f t="shared" si="2">IF(OR($H$6="",$G12="",$H12="",$H12&lt;$G12),"",IF(AND(Q$9&lt;=$H12,Q$9+6&gt;=$G12),1,""))</x:f>
      </x:c>
      <x:c r="R12" s="80" t="str">
        <x:f t="shared" si="2">IF(OR($H$6="",$G12="",$H12="",$H12&lt;$G12),"",IF(AND(R$9&lt;=$H12,R$9+6&gt;=$G12),1,""))</x:f>
      </x:c>
      <x:c r="S12" s="79" t="str">
        <x:f t="shared" si="2">IF(OR($H$6="",$G12="",$H12="",$H12&lt;$G12),"",IF(AND(S$9&lt;=$H12,S$9+6&gt;=$G12),1,""))</x:f>
      </x:c>
      <x:c r="T12" s="80" t="str">
        <x:f t="shared" si="2">IF(OR($H$6="",$G12="",$H12="",$H12&lt;$G12),"",IF(AND(T$9&lt;=$H12,T$9+6&gt;=$G12),1,""))</x:f>
      </x:c>
      <x:c r="U12" s="79" t="str">
        <x:f t="shared" si="3">IF(OR($H$6="",$G12="",$H12="",$H12&lt;$G12),"",IF(AND(U$9&lt;=$H12,U$9+6&gt;=$G12),1,""))</x:f>
      </x:c>
      <x:c r="V12" s="80" t="str">
        <x:f t="shared" si="3">IF(OR($H$6="",$G12="",$H12="",$H12&lt;$G12),"",IF(AND(V$9&lt;=$H12,V$9+6&gt;=$G12),1,""))</x:f>
      </x:c>
      <x:c r="W12" s="79" t="str">
        <x:f t="shared" si="3">IF(OR($H$6="",$G12="",$H12="",$H12&lt;$G12),"",IF(AND(W$9&lt;=$H12,W$9+6&gt;=$G12),1,""))</x:f>
      </x:c>
      <x:c r="X12" s="80" t="str">
        <x:f t="shared" si="3">IF(OR($H$6="",$G12="",$H12="",$H12&lt;$G12),"",IF(AND(X$9&lt;=$H12,X$9+6&gt;=$G12),1,""))</x:f>
      </x:c>
      <x:c r="Y12" s="79" t="str">
        <x:f t="shared" si="3">IF(OR($H$6="",$G12="",$H12="",$H12&lt;$G12),"",IF(AND(Y$9&lt;=$H12,Y$9+6&gt;=$G12),1,""))</x:f>
      </x:c>
      <x:c r="Z12" s="80" t="str">
        <x:f t="shared" si="3">IF(OR($H$6="",$G12="",$H12="",$H12&lt;$G12),"",IF(AND(Z$9&lt;=$H12,Z$9+6&gt;=$G12),1,""))</x:f>
      </x:c>
      <x:c r="AA12" s="79" t="str">
        <x:f t="shared" si="3">IF(OR($H$6="",$G12="",$H12="",$H12&lt;$G12),"",IF(AND(AA$9&lt;=$H12,AA$9+6&gt;=$G12),1,""))</x:f>
      </x:c>
      <x:c r="AB12" s="80" t="str">
        <x:f t="shared" si="3">IF(OR($H$6="",$G12="",$H12="",$H12&lt;$G12),"",IF(AND(AB$9&lt;=$H12,AB$9+6&gt;=$G12),1,""))</x:f>
      </x:c>
      <x:c r="AC12" s="79" t="str">
        <x:f t="shared" si="3">IF(OR($H$6="",$G12="",$H12="",$H12&lt;$G12),"",IF(AND(AC$9&lt;=$H12,AC$9+6&gt;=$G12),1,""))</x:f>
      </x:c>
      <x:c r="AD12" s="80" t="str">
        <x:f t="shared" si="3">IF(OR($H$6="",$G12="",$H12="",$H12&lt;$G12),"",IF(AND(AD$9&lt;=$H12,AD$9+6&gt;=$G12),1,""))</x:f>
      </x:c>
    </x:row>
    <x:row r="13" ht="36" customHeight="1">
      <x:c r="B13" s="81" t="str">
        <x:v>技能组</x:v>
      </x:c>
      <x:c r="C13" s="95" t="str">
        <x:v>FUNC-219 创建服务技能配置</x:v>
      </x:c>
      <x:c r="D13" s="83"/>
      <x:c r="E13" s="83" t="str">
        <x:v>待确认</x:v>
      </x:c>
      <x:c r="F13" s="83"/>
      <x:c r="G13" s="97"/>
      <x:c r="H13" s="97"/>
      <x:c r="I13" s="78" t="str">
        <x:f t="shared" si="1">IF(OR(G13="",H13="",H13&lt;G13),"",H13-G13+1)</x:f>
      </x:c>
      <x:c r="J13" s="50"/>
      <x:c r="K13" s="79" t="str">
        <x:f t="shared" si="2">IF(OR($H$6="",$G13="",$H13="",$H13&lt;$G13),"",IF(AND(K$9&lt;=$H13,K$9+6&gt;=$G13),1,""))</x:f>
      </x:c>
      <x:c r="L13" s="80" t="str">
        <x:f t="shared" si="2">IF(OR($H$6="",$G13="",$H13="",$H13&lt;$G13),"",IF(AND(L$9&lt;=$H13,L$9+6&gt;=$G13),1,""))</x:f>
      </x:c>
      <x:c r="M13" s="79" t="str">
        <x:f t="shared" si="2">IF(OR($H$6="",$G13="",$H13="",$H13&lt;$G13),"",IF(AND(M$9&lt;=$H13,M$9+6&gt;=$G13),1,""))</x:f>
      </x:c>
      <x:c r="N13" s="80" t="str">
        <x:f t="shared" si="2">IF(OR($H$6="",$G13="",$H13="",$H13&lt;$G13),"",IF(AND(N$9&lt;=$H13,N$9+6&gt;=$G13),1,""))</x:f>
      </x:c>
      <x:c r="O13" s="79" t="str">
        <x:f t="shared" si="2">IF(OR($H$6="",$G13="",$H13="",$H13&lt;$G13),"",IF(AND(O$9&lt;=$H13,O$9+6&gt;=$G13),1,""))</x:f>
      </x:c>
      <x:c r="P13" s="80" t="str">
        <x:f t="shared" si="2">IF(OR($H$6="",$G13="",$H13="",$H13&lt;$G13),"",IF(AND(P$9&lt;=$H13,P$9+6&gt;=$G13),1,""))</x:f>
      </x:c>
      <x:c r="Q13" s="79" t="str">
        <x:f t="shared" si="2">IF(OR($H$6="",$G13="",$H13="",$H13&lt;$G13),"",IF(AND(Q$9&lt;=$H13,Q$9+6&gt;=$G13),1,""))</x:f>
      </x:c>
      <x:c r="R13" s="80" t="str">
        <x:f t="shared" si="2">IF(OR($H$6="",$G13="",$H13="",$H13&lt;$G13),"",IF(AND(R$9&lt;=$H13,R$9+6&gt;=$G13),1,""))</x:f>
      </x:c>
      <x:c r="S13" s="79" t="str">
        <x:f t="shared" si="2">IF(OR($H$6="",$G13="",$H13="",$H13&lt;$G13),"",IF(AND(S$9&lt;=$H13,S$9+6&gt;=$G13),1,""))</x:f>
      </x:c>
      <x:c r="T13" s="80" t="str">
        <x:f t="shared" si="2">IF(OR($H$6="",$G13="",$H13="",$H13&lt;$G13),"",IF(AND(T$9&lt;=$H13,T$9+6&gt;=$G13),1,""))</x:f>
      </x:c>
      <x:c r="U13" s="79" t="str">
        <x:f t="shared" si="3">IF(OR($H$6="",$G13="",$H13="",$H13&lt;$G13),"",IF(AND(U$9&lt;=$H13,U$9+6&gt;=$G13),1,""))</x:f>
      </x:c>
      <x:c r="V13" s="80" t="str">
        <x:f t="shared" si="3">IF(OR($H$6="",$G13="",$H13="",$H13&lt;$G13),"",IF(AND(V$9&lt;=$H13,V$9+6&gt;=$G13),1,""))</x:f>
      </x:c>
      <x:c r="W13" s="79" t="str">
        <x:f t="shared" si="3">IF(OR($H$6="",$G13="",$H13="",$H13&lt;$G13),"",IF(AND(W$9&lt;=$H13,W$9+6&gt;=$G13),1,""))</x:f>
      </x:c>
      <x:c r="X13" s="80" t="str">
        <x:f t="shared" si="3">IF(OR($H$6="",$G13="",$H13="",$H13&lt;$G13),"",IF(AND(X$9&lt;=$H13,X$9+6&gt;=$G13),1,""))</x:f>
      </x:c>
      <x:c r="Y13" s="79" t="str">
        <x:f t="shared" si="3">IF(OR($H$6="",$G13="",$H13="",$H13&lt;$G13),"",IF(AND(Y$9&lt;=$H13,Y$9+6&gt;=$G13),1,""))</x:f>
      </x:c>
      <x:c r="Z13" s="80" t="str">
        <x:f t="shared" si="3">IF(OR($H$6="",$G13="",$H13="",$H13&lt;$G13),"",IF(AND(Z$9&lt;=$H13,Z$9+6&gt;=$G13),1,""))</x:f>
      </x:c>
      <x:c r="AA13" s="79" t="str">
        <x:f t="shared" si="3">IF(OR($H$6="",$G13="",$H13="",$H13&lt;$G13),"",IF(AND(AA$9&lt;=$H13,AA$9+6&gt;=$G13),1,""))</x:f>
      </x:c>
      <x:c r="AB13" s="80" t="str">
        <x:f t="shared" si="3">IF(OR($H$6="",$G13="",$H13="",$H13&lt;$G13),"",IF(AND(AB$9&lt;=$H13,AB$9+6&gt;=$G13),1,""))</x:f>
      </x:c>
      <x:c r="AC13" s="79" t="str">
        <x:f t="shared" si="3">IF(OR($H$6="",$G13="",$H13="",$H13&lt;$G13),"",IF(AND(AC$9&lt;=$H13,AC$9+6&gt;=$G13),1,""))</x:f>
      </x:c>
      <x:c r="AD13" s="80" t="str">
        <x:f t="shared" si="3">IF(OR($H$6="",$G13="",$H13="",$H13&lt;$G13),"",IF(AND(AD$9&lt;=$H13,AD$9+6&gt;=$G13),1,""))</x:f>
      </x:c>
    </x:row>
    <x:row r="14" ht="36" customHeight="1">
      <x:c r="B14" s="74" t="str">
        <x:v>号码</x:v>
      </x:c>
      <x:c r="C14" s="94" t="str">
        <x:v>FUNC-231 导入企业号码</x:v>
      </x:c>
      <x:c r="D14" s="76"/>
      <x:c r="E14" s="76" t="str">
        <x:v>待确认</x:v>
      </x:c>
      <x:c r="F14" s="76"/>
      <x:c r="G14" s="96"/>
      <x:c r="H14" s="96"/>
      <x:c r="I14" s="78" t="str">
        <x:f t="shared" si="1">IF(OR(G14="",H14="",H14&lt;G14),"",H14-G14+1)</x:f>
      </x:c>
      <x:c r="J14" s="50"/>
      <x:c r="K14" s="79" t="str">
        <x:f t="shared" si="2">IF(OR($H$6="",$G14="",$H14="",$H14&lt;$G14),"",IF(AND(K$9&lt;=$H14,K$9+6&gt;=$G14),1,""))</x:f>
      </x:c>
      <x:c r="L14" s="80" t="str">
        <x:f t="shared" si="2">IF(OR($H$6="",$G14="",$H14="",$H14&lt;$G14),"",IF(AND(L$9&lt;=$H14,L$9+6&gt;=$G14),1,""))</x:f>
      </x:c>
      <x:c r="M14" s="79" t="str">
        <x:f t="shared" si="2">IF(OR($H$6="",$G14="",$H14="",$H14&lt;$G14),"",IF(AND(M$9&lt;=$H14,M$9+6&gt;=$G14),1,""))</x:f>
      </x:c>
      <x:c r="N14" s="80" t="str">
        <x:f t="shared" si="2">IF(OR($H$6="",$G14="",$H14="",$H14&lt;$G14),"",IF(AND(N$9&lt;=$H14,N$9+6&gt;=$G14),1,""))</x:f>
      </x:c>
      <x:c r="O14" s="79" t="str">
        <x:f t="shared" si="2">IF(OR($H$6="",$G14="",$H14="",$H14&lt;$G14),"",IF(AND(O$9&lt;=$H14,O$9+6&gt;=$G14),1,""))</x:f>
      </x:c>
      <x:c r="P14" s="80" t="str">
        <x:f t="shared" si="2">IF(OR($H$6="",$G14="",$H14="",$H14&lt;$G14),"",IF(AND(P$9&lt;=$H14,P$9+6&gt;=$G14),1,""))</x:f>
      </x:c>
      <x:c r="Q14" s="79" t="str">
        <x:f t="shared" si="2">IF(OR($H$6="",$G14="",$H14="",$H14&lt;$G14),"",IF(AND(Q$9&lt;=$H14,Q$9+6&gt;=$G14),1,""))</x:f>
      </x:c>
      <x:c r="R14" s="80" t="str">
        <x:f t="shared" si="2">IF(OR($H$6="",$G14="",$H14="",$H14&lt;$G14),"",IF(AND(R$9&lt;=$H14,R$9+6&gt;=$G14),1,""))</x:f>
      </x:c>
      <x:c r="S14" s="79" t="str">
        <x:f t="shared" si="2">IF(OR($H$6="",$G14="",$H14="",$H14&lt;$G14),"",IF(AND(S$9&lt;=$H14,S$9+6&gt;=$G14),1,""))</x:f>
      </x:c>
      <x:c r="T14" s="80" t="str">
        <x:f t="shared" si="2">IF(OR($H$6="",$G14="",$H14="",$H14&lt;$G14),"",IF(AND(T$9&lt;=$H14,T$9+6&gt;=$G14),1,""))</x:f>
      </x:c>
      <x:c r="U14" s="79" t="str">
        <x:f t="shared" si="3">IF(OR($H$6="",$G14="",$H14="",$H14&lt;$G14),"",IF(AND(U$9&lt;=$H14,U$9+6&gt;=$G14),1,""))</x:f>
      </x:c>
      <x:c r="V14" s="80" t="str">
        <x:f t="shared" si="3">IF(OR($H$6="",$G14="",$H14="",$H14&lt;$G14),"",IF(AND(V$9&lt;=$H14,V$9+6&gt;=$G14),1,""))</x:f>
      </x:c>
      <x:c r="W14" s="79" t="str">
        <x:f t="shared" si="3">IF(OR($H$6="",$G14="",$H14="",$H14&lt;$G14),"",IF(AND(W$9&lt;=$H14,W$9+6&gt;=$G14),1,""))</x:f>
      </x:c>
      <x:c r="X14" s="80" t="str">
        <x:f t="shared" si="3">IF(OR($H$6="",$G14="",$H14="",$H14&lt;$G14),"",IF(AND(X$9&lt;=$H14,X$9+6&gt;=$G14),1,""))</x:f>
      </x:c>
      <x:c r="Y14" s="79" t="str">
        <x:f t="shared" si="3">IF(OR($H$6="",$G14="",$H14="",$H14&lt;$G14),"",IF(AND(Y$9&lt;=$H14,Y$9+6&gt;=$G14),1,""))</x:f>
      </x:c>
      <x:c r="Z14" s="80" t="str">
        <x:f t="shared" si="3">IF(OR($H$6="",$G14="",$H14="",$H14&lt;$G14),"",IF(AND(Z$9&lt;=$H14,Z$9+6&gt;=$G14),1,""))</x:f>
      </x:c>
      <x:c r="AA14" s="79" t="str">
        <x:f t="shared" si="3">IF(OR($H$6="",$G14="",$H14="",$H14&lt;$G14),"",IF(AND(AA$9&lt;=$H14,AA$9+6&gt;=$G14),1,""))</x:f>
      </x:c>
      <x:c r="AB14" s="80" t="str">
        <x:f t="shared" si="3">IF(OR($H$6="",$G14="",$H14="",$H14&lt;$G14),"",IF(AND(AB$9&lt;=$H14,AB$9+6&gt;=$G14),1,""))</x:f>
      </x:c>
      <x:c r="AC14" s="79" t="str">
        <x:f t="shared" si="3">IF(OR($H$6="",$G14="",$H14="",$H14&lt;$G14),"",IF(AND(AC$9&lt;=$H14,AC$9+6&gt;=$G14),1,""))</x:f>
      </x:c>
      <x:c r="AD14" s="80" t="str">
        <x:f t="shared" si="3">IF(OR($H$6="",$G14="",$H14="",$H14&lt;$G14),"",IF(AND(AD$9&lt;=$H14,AD$9+6&gt;=$G14),1,""))</x:f>
      </x:c>
    </x:row>
    <x:row r="15" ht="36" customHeight="1">
      <x:c r="B15" s="81" t="str">
        <x:v>号码</x:v>
      </x:c>
      <x:c r="C15" s="95" t="str">
        <x:v>FUNC-232 加入供应商账号号码</x:v>
      </x:c>
      <x:c r="D15" s="83"/>
      <x:c r="E15" s="83" t="str">
        <x:v>待确认</x:v>
      </x:c>
      <x:c r="F15" s="83"/>
      <x:c r="G15" s="97"/>
      <x:c r="H15" s="97"/>
      <x:c r="I15" s="78" t="str">
        <x:f t="shared" si="1">IF(OR(G15="",H15="",H15&lt;G15),"",H15-G15+1)</x:f>
      </x:c>
      <x:c r="J15" s="50"/>
      <x:c r="K15" s="79" t="str">
        <x:f t="shared" si="2">IF(OR($H$6="",$G15="",$H15="",$H15&lt;$G15),"",IF(AND(K$9&lt;=$H15,K$9+6&gt;=$G15),1,""))</x:f>
      </x:c>
      <x:c r="L15" s="80" t="str">
        <x:f t="shared" si="2">IF(OR($H$6="",$G15="",$H15="",$H15&lt;$G15),"",IF(AND(L$9&lt;=$H15,L$9+6&gt;=$G15),1,""))</x:f>
      </x:c>
      <x:c r="M15" s="79" t="str">
        <x:f t="shared" si="2">IF(OR($H$6="",$G15="",$H15="",$H15&lt;$G15),"",IF(AND(M$9&lt;=$H15,M$9+6&gt;=$G15),1,""))</x:f>
      </x:c>
      <x:c r="N15" s="80" t="str">
        <x:f t="shared" si="2">IF(OR($H$6="",$G15="",$H15="",$H15&lt;$G15),"",IF(AND(N$9&lt;=$H15,N$9+6&gt;=$G15),1,""))</x:f>
      </x:c>
      <x:c r="O15" s="79" t="str">
        <x:f t="shared" si="2">IF(OR($H$6="",$G15="",$H15="",$H15&lt;$G15),"",IF(AND(O$9&lt;=$H15,O$9+6&gt;=$G15),1,""))</x:f>
      </x:c>
      <x:c r="P15" s="80" t="str">
        <x:f t="shared" si="2">IF(OR($H$6="",$G15="",$H15="",$H15&lt;$G15),"",IF(AND(P$9&lt;=$H15,P$9+6&gt;=$G15),1,""))</x:f>
      </x:c>
      <x:c r="Q15" s="79" t="str">
        <x:f t="shared" si="2">IF(OR($H$6="",$G15="",$H15="",$H15&lt;$G15),"",IF(AND(Q$9&lt;=$H15,Q$9+6&gt;=$G15),1,""))</x:f>
      </x:c>
      <x:c r="R15" s="80" t="str">
        <x:f t="shared" si="2">IF(OR($H$6="",$G15="",$H15="",$H15&lt;$G15),"",IF(AND(R$9&lt;=$H15,R$9+6&gt;=$G15),1,""))</x:f>
      </x:c>
      <x:c r="S15" s="79" t="str">
        <x:f t="shared" si="2">IF(OR($H$6="",$G15="",$H15="",$H15&lt;$G15),"",IF(AND(S$9&lt;=$H15,S$9+6&gt;=$G15),1,""))</x:f>
      </x:c>
      <x:c r="T15" s="80" t="str">
        <x:f t="shared" si="2">IF(OR($H$6="",$G15="",$H15="",$H15&lt;$G15),"",IF(AND(T$9&lt;=$H15,T$9+6&gt;=$G15),1,""))</x:f>
      </x:c>
      <x:c r="U15" s="79" t="str">
        <x:f t="shared" si="3">IF(OR($H$6="",$G15="",$H15="",$H15&lt;$G15),"",IF(AND(U$9&lt;=$H15,U$9+6&gt;=$G15),1,""))</x:f>
      </x:c>
      <x:c r="V15" s="80" t="str">
        <x:f t="shared" si="3">IF(OR($H$6="",$G15="",$H15="",$H15&lt;$G15),"",IF(AND(V$9&lt;=$H15,V$9+6&gt;=$G15),1,""))</x:f>
      </x:c>
      <x:c r="W15" s="79" t="str">
        <x:f t="shared" si="3">IF(OR($H$6="",$G15="",$H15="",$H15&lt;$G15),"",IF(AND(W$9&lt;=$H15,W$9+6&gt;=$G15),1,""))</x:f>
      </x:c>
      <x:c r="X15" s="80" t="str">
        <x:f t="shared" si="3">IF(OR($H$6="",$G15="",$H15="",$H15&lt;$G15),"",IF(AND(X$9&lt;=$H15,X$9+6&gt;=$G15),1,""))</x:f>
      </x:c>
      <x:c r="Y15" s="79" t="str">
        <x:f t="shared" si="3">IF(OR($H$6="",$G15="",$H15="",$H15&lt;$G15),"",IF(AND(Y$9&lt;=$H15,Y$9+6&gt;=$G15),1,""))</x:f>
      </x:c>
      <x:c r="Z15" s="80" t="str">
        <x:f t="shared" si="3">IF(OR($H$6="",$G15="",$H15="",$H15&lt;$G15),"",IF(AND(Z$9&lt;=$H15,Z$9+6&gt;=$G15),1,""))</x:f>
      </x:c>
      <x:c r="AA15" s="79" t="str">
        <x:f t="shared" si="3">IF(OR($H$6="",$G15="",$H15="",$H15&lt;$G15),"",IF(AND(AA$9&lt;=$H15,AA$9+6&gt;=$G15),1,""))</x:f>
      </x:c>
      <x:c r="AB15" s="80" t="str">
        <x:f t="shared" si="3">IF(OR($H$6="",$G15="",$H15="",$H15&lt;$G15),"",IF(AND(AB$9&lt;=$H15,AB$9+6&gt;=$G15),1,""))</x:f>
      </x:c>
      <x:c r="AC15" s="79" t="str">
        <x:f t="shared" si="3">IF(OR($H$6="",$G15="",$H15="",$H15&lt;$G15),"",IF(AND(AC$9&lt;=$H15,AC$9+6&gt;=$G15),1,""))</x:f>
      </x:c>
      <x:c r="AD15" s="80" t="str">
        <x:f t="shared" si="3">IF(OR($H$6="",$G15="",$H15="",$H15&lt;$G15),"",IF(AND(AD$9&lt;=$H15,AD$9+6&gt;=$G15),1,""))</x:f>
      </x:c>
    </x:row>
    <x:row r="16" ht="36" customHeight="1">
      <x:c r="B16" s="74" t="str">
        <x:v>号码</x:v>
      </x:c>
      <x:c r="C16" s="94" t="str">
        <x:v>FUNC-236 隔离号码业务使用</x:v>
      </x:c>
      <x:c r="D16" s="76"/>
      <x:c r="E16" s="76" t="str">
        <x:v>待确认</x:v>
      </x:c>
      <x:c r="F16" s="76"/>
      <x:c r="G16" s="96"/>
      <x:c r="H16" s="96"/>
      <x:c r="I16" s="78" t="str">
        <x:f t="shared" si="1">IF(OR(G16="",H16="",H16&lt;G16),"",H16-G16+1)</x:f>
      </x:c>
      <x:c r="J16" s="50"/>
      <x:c r="K16" s="79" t="str">
        <x:f t="shared" si="2">IF(OR($H$6="",$G16="",$H16="",$H16&lt;$G16),"",IF(AND(K$9&lt;=$H16,K$9+6&gt;=$G16),1,""))</x:f>
      </x:c>
      <x:c r="L16" s="80" t="str">
        <x:f t="shared" si="2">IF(OR($H$6="",$G16="",$H16="",$H16&lt;$G16),"",IF(AND(L$9&lt;=$H16,L$9+6&gt;=$G16),1,""))</x:f>
      </x:c>
      <x:c r="M16" s="79" t="str">
        <x:f t="shared" si="2">IF(OR($H$6="",$G16="",$H16="",$H16&lt;$G16),"",IF(AND(M$9&lt;=$H16,M$9+6&gt;=$G16),1,""))</x:f>
      </x:c>
      <x:c r="N16" s="80" t="str">
        <x:f t="shared" si="2">IF(OR($H$6="",$G16="",$H16="",$H16&lt;$G16),"",IF(AND(N$9&lt;=$H16,N$9+6&gt;=$G16),1,""))</x:f>
      </x:c>
      <x:c r="O16" s="79" t="str">
        <x:f t="shared" si="2">IF(OR($H$6="",$G16="",$H16="",$H16&lt;$G16),"",IF(AND(O$9&lt;=$H16,O$9+6&gt;=$G16),1,""))</x:f>
      </x:c>
      <x:c r="P16" s="80" t="str">
        <x:f t="shared" si="2">IF(OR($H$6="",$G16="",$H16="",$H16&lt;$G16),"",IF(AND(P$9&lt;=$H16,P$9+6&gt;=$G16),1,""))</x:f>
      </x:c>
      <x:c r="Q16" s="79" t="str">
        <x:f t="shared" si="2">IF(OR($H$6="",$G16="",$H16="",$H16&lt;$G16),"",IF(AND(Q$9&lt;=$H16,Q$9+6&gt;=$G16),1,""))</x:f>
      </x:c>
      <x:c r="R16" s="80" t="str">
        <x:f t="shared" si="2">IF(OR($H$6="",$G16="",$H16="",$H16&lt;$G16),"",IF(AND(R$9&lt;=$H16,R$9+6&gt;=$G16),1,""))</x:f>
      </x:c>
      <x:c r="S16" s="79" t="str">
        <x:f t="shared" si="2">IF(OR($H$6="",$G16="",$H16="",$H16&lt;$G16),"",IF(AND(S$9&lt;=$H16,S$9+6&gt;=$G16),1,""))</x:f>
      </x:c>
      <x:c r="T16" s="80" t="str">
        <x:f t="shared" si="2">IF(OR($H$6="",$G16="",$H16="",$H16&lt;$G16),"",IF(AND(T$9&lt;=$H16,T$9+6&gt;=$G16),1,""))</x:f>
      </x:c>
      <x:c r="U16" s="79" t="str">
        <x:f t="shared" si="3">IF(OR($H$6="",$G16="",$H16="",$H16&lt;$G16),"",IF(AND(U$9&lt;=$H16,U$9+6&gt;=$G16),1,""))</x:f>
      </x:c>
      <x:c r="V16" s="80" t="str">
        <x:f t="shared" si="3">IF(OR($H$6="",$G16="",$H16="",$H16&lt;$G16),"",IF(AND(V$9&lt;=$H16,V$9+6&gt;=$G16),1,""))</x:f>
      </x:c>
      <x:c r="W16" s="79" t="str">
        <x:f t="shared" si="3">IF(OR($H$6="",$G16="",$H16="",$H16&lt;$G16),"",IF(AND(W$9&lt;=$H16,W$9+6&gt;=$G16),1,""))</x:f>
      </x:c>
      <x:c r="X16" s="80" t="str">
        <x:f t="shared" si="3">IF(OR($H$6="",$G16="",$H16="",$H16&lt;$G16),"",IF(AND(X$9&lt;=$H16,X$9+6&gt;=$G16),1,""))</x:f>
      </x:c>
      <x:c r="Y16" s="79" t="str">
        <x:f t="shared" si="3">IF(OR($H$6="",$G16="",$H16="",$H16&lt;$G16),"",IF(AND(Y$9&lt;=$H16,Y$9+6&gt;=$G16),1,""))</x:f>
      </x:c>
      <x:c r="Z16" s="80" t="str">
        <x:f t="shared" si="3">IF(OR($H$6="",$G16="",$H16="",$H16&lt;$G16),"",IF(AND(Z$9&lt;=$H16,Z$9+6&gt;=$G16),1,""))</x:f>
      </x:c>
      <x:c r="AA16" s="79" t="str">
        <x:f t="shared" si="3">IF(OR($H$6="",$G16="",$H16="",$H16&lt;$G16),"",IF(AND(AA$9&lt;=$H16,AA$9+6&gt;=$G16),1,""))</x:f>
      </x:c>
      <x:c r="AB16" s="80" t="str">
        <x:f t="shared" si="3">IF(OR($H$6="",$G16="",$H16="",$H16&lt;$G16),"",IF(AND(AB$9&lt;=$H16,AB$9+6&gt;=$G16),1,""))</x:f>
      </x:c>
      <x:c r="AC16" s="79" t="str">
        <x:f t="shared" si="3">IF(OR($H$6="",$G16="",$H16="",$H16&lt;$G16),"",IF(AND(AC$9&lt;=$H16,AC$9+6&gt;=$G16),1,""))</x:f>
      </x:c>
      <x:c r="AD16" s="80" t="str">
        <x:f t="shared" si="3">IF(OR($H$6="",$G16="",$H16="",$H16&lt;$G16),"",IF(AND(AD$9&lt;=$H16,AD$9+6&gt;=$G16),1,""))</x:f>
      </x:c>
    </x:row>
    <x:row r="17" ht="36" customHeight="1">
      <x:c r="B17" s="81" t="str">
        <x:v>号码</x:v>
      </x:c>
      <x:c r="C17" s="95" t="str">
        <x:v>FUNC-237 恢复号码业务使用</x:v>
      </x:c>
      <x:c r="D17" s="83"/>
      <x:c r="E17" s="83" t="str">
        <x:v>待确认</x:v>
      </x:c>
      <x:c r="F17" s="83"/>
      <x:c r="G17" s="97"/>
      <x:c r="H17" s="97"/>
      <x:c r="I17" s="78" t="str">
        <x:f t="shared" si="1">IF(OR(G17="",H17="",H17&lt;G17),"",H17-G17+1)</x:f>
      </x:c>
      <x:c r="J17" s="50"/>
      <x:c r="K17" s="79" t="str">
        <x:f t="shared" si="2">IF(OR($H$6="",$G17="",$H17="",$H17&lt;$G17),"",IF(AND(K$9&lt;=$H17,K$9+6&gt;=$G17),1,""))</x:f>
      </x:c>
      <x:c r="L17" s="80" t="str">
        <x:f t="shared" si="2">IF(OR($H$6="",$G17="",$H17="",$H17&lt;$G17),"",IF(AND(L$9&lt;=$H17,L$9+6&gt;=$G17),1,""))</x:f>
      </x:c>
      <x:c r="M17" s="79" t="str">
        <x:f t="shared" si="2">IF(OR($H$6="",$G17="",$H17="",$H17&lt;$G17),"",IF(AND(M$9&lt;=$H17,M$9+6&gt;=$G17),1,""))</x:f>
      </x:c>
      <x:c r="N17" s="80" t="str">
        <x:f t="shared" si="2">IF(OR($H$6="",$G17="",$H17="",$H17&lt;$G17),"",IF(AND(N$9&lt;=$H17,N$9+6&gt;=$G17),1,""))</x:f>
      </x:c>
      <x:c r="O17" s="79" t="str">
        <x:f t="shared" si="2">IF(OR($H$6="",$G17="",$H17="",$H17&lt;$G17),"",IF(AND(O$9&lt;=$H17,O$9+6&gt;=$G17),1,""))</x:f>
      </x:c>
      <x:c r="P17" s="80" t="str">
        <x:f t="shared" si="2">IF(OR($H$6="",$G17="",$H17="",$H17&lt;$G17),"",IF(AND(P$9&lt;=$H17,P$9+6&gt;=$G17),1,""))</x:f>
      </x:c>
      <x:c r="Q17" s="79" t="str">
        <x:f t="shared" si="2">IF(OR($H$6="",$G17="",$H17="",$H17&lt;$G17),"",IF(AND(Q$9&lt;=$H17,Q$9+6&gt;=$G17),1,""))</x:f>
      </x:c>
      <x:c r="R17" s="80" t="str">
        <x:f t="shared" si="2">IF(OR($H$6="",$G17="",$H17="",$H17&lt;$G17),"",IF(AND(R$9&lt;=$H17,R$9+6&gt;=$G17),1,""))</x:f>
      </x:c>
      <x:c r="S17" s="79" t="str">
        <x:f t="shared" si="2">IF(OR($H$6="",$G17="",$H17="",$H17&lt;$G17),"",IF(AND(S$9&lt;=$H17,S$9+6&gt;=$G17),1,""))</x:f>
      </x:c>
      <x:c r="T17" s="80" t="str">
        <x:f t="shared" si="2">IF(OR($H$6="",$G17="",$H17="",$H17&lt;$G17),"",IF(AND(T$9&lt;=$H17,T$9+6&gt;=$G17),1,""))</x:f>
      </x:c>
      <x:c r="U17" s="79" t="str">
        <x:f t="shared" si="3">IF(OR($H$6="",$G17="",$H17="",$H17&lt;$G17),"",IF(AND(U$9&lt;=$H17,U$9+6&gt;=$G17),1,""))</x:f>
      </x:c>
      <x:c r="V17" s="80" t="str">
        <x:f t="shared" si="3">IF(OR($H$6="",$G17="",$H17="",$H17&lt;$G17),"",IF(AND(V$9&lt;=$H17,V$9+6&gt;=$G17),1,""))</x:f>
      </x:c>
      <x:c r="W17" s="79" t="str">
        <x:f t="shared" si="3">IF(OR($H$6="",$G17="",$H17="",$H17&lt;$G17),"",IF(AND(W$9&lt;=$H17,W$9+6&gt;=$G17),1,""))</x:f>
      </x:c>
      <x:c r="X17" s="80" t="str">
        <x:f t="shared" si="3">IF(OR($H$6="",$G17="",$H17="",$H17&lt;$G17),"",IF(AND(X$9&lt;=$H17,X$9+6&gt;=$G17),1,""))</x:f>
      </x:c>
      <x:c r="Y17" s="79" t="str">
        <x:f t="shared" si="3">IF(OR($H$6="",$G17="",$H17="",$H17&lt;$G17),"",IF(AND(Y$9&lt;=$H17,Y$9+6&gt;=$G17),1,""))</x:f>
      </x:c>
      <x:c r="Z17" s="80" t="str">
        <x:f t="shared" si="3">IF(OR($H$6="",$G17="",$H17="",$H17&lt;$G17),"",IF(AND(Z$9&lt;=$H17,Z$9+6&gt;=$G17),1,""))</x:f>
      </x:c>
      <x:c r="AA17" s="79" t="str">
        <x:f t="shared" si="3">IF(OR($H$6="",$G17="",$H17="",$H17&lt;$G17),"",IF(AND(AA$9&lt;=$H17,AA$9+6&gt;=$G17),1,""))</x:f>
      </x:c>
      <x:c r="AB17" s="80" t="str">
        <x:f t="shared" si="3">IF(OR($H$6="",$G17="",$H17="",$H17&lt;$G17),"",IF(AND(AB$9&lt;=$H17,AB$9+6&gt;=$G17),1,""))</x:f>
      </x:c>
      <x:c r="AC17" s="79" t="str">
        <x:f t="shared" si="3">IF(OR($H$6="",$G17="",$H17="",$H17&lt;$G17),"",IF(AND(AC$9&lt;=$H17,AC$9+6&gt;=$G17),1,""))</x:f>
      </x:c>
      <x:c r="AD17" s="80" t="str">
        <x:f t="shared" si="3">IF(OR($H$6="",$G17="",$H17="",$H17&lt;$G17),"",IF(AND(AD$9&lt;=$H17,AD$9+6&gt;=$G17),1,""))</x:f>
      </x:c>
    </x:row>
    <x:row r="18" ht="36" customHeight="1">
      <x:c r="B18" s="74" t="str">
        <x:v>外呼任务</x:v>
      </x:c>
      <x:c r="C18" s="94" t="str">
        <x:v>FUNC-249 启动外呼任务</x:v>
      </x:c>
      <x:c r="D18" s="76"/>
      <x:c r="E18" s="76" t="str">
        <x:v>待确认</x:v>
      </x:c>
      <x:c r="F18" s="76"/>
      <x:c r="G18" s="96"/>
      <x:c r="H18" s="96"/>
      <x:c r="I18" s="78" t="str">
        <x:f t="shared" si="1">IF(OR(G18="",H18="",H18&lt;G18),"",H18-G18+1)</x:f>
      </x:c>
      <x:c r="J18" s="50"/>
      <x:c r="K18" s="79" t="str">
        <x:f t="shared" si="2">IF(OR($H$6="",$G18="",$H18="",$H18&lt;$G18),"",IF(AND(K$9&lt;=$H18,K$9+6&gt;=$G18),1,""))</x:f>
      </x:c>
      <x:c r="L18" s="80" t="str">
        <x:f t="shared" si="2">IF(OR($H$6="",$G18="",$H18="",$H18&lt;$G18),"",IF(AND(L$9&lt;=$H18,L$9+6&gt;=$G18),1,""))</x:f>
      </x:c>
      <x:c r="M18" s="79" t="str">
        <x:f t="shared" si="2">IF(OR($H$6="",$G18="",$H18="",$H18&lt;$G18),"",IF(AND(M$9&lt;=$H18,M$9+6&gt;=$G18),1,""))</x:f>
      </x:c>
      <x:c r="N18" s="80" t="str">
        <x:f t="shared" si="2">IF(OR($H$6="",$G18="",$H18="",$H18&lt;$G18),"",IF(AND(N$9&lt;=$H18,N$9+6&gt;=$G18),1,""))</x:f>
      </x:c>
      <x:c r="O18" s="79" t="str">
        <x:f t="shared" si="2">IF(OR($H$6="",$G18="",$H18="",$H18&lt;$G18),"",IF(AND(O$9&lt;=$H18,O$9+6&gt;=$G18),1,""))</x:f>
      </x:c>
      <x:c r="P18" s="80" t="str">
        <x:f t="shared" si="2">IF(OR($H$6="",$G18="",$H18="",$H18&lt;$G18),"",IF(AND(P$9&lt;=$H18,P$9+6&gt;=$G18),1,""))</x:f>
      </x:c>
      <x:c r="Q18" s="79" t="str">
        <x:f t="shared" si="2">IF(OR($H$6="",$G18="",$H18="",$H18&lt;$G18),"",IF(AND(Q$9&lt;=$H18,Q$9+6&gt;=$G18),1,""))</x:f>
      </x:c>
      <x:c r="R18" s="80" t="str">
        <x:f t="shared" si="2">IF(OR($H$6="",$G18="",$H18="",$H18&lt;$G18),"",IF(AND(R$9&lt;=$H18,R$9+6&gt;=$G18),1,""))</x:f>
      </x:c>
      <x:c r="S18" s="79" t="str">
        <x:f t="shared" si="2">IF(OR($H$6="",$G18="",$H18="",$H18&lt;$G18),"",IF(AND(S$9&lt;=$H18,S$9+6&gt;=$G18),1,""))</x:f>
      </x:c>
      <x:c r="T18" s="80" t="str">
        <x:f t="shared" si="2">IF(OR($H$6="",$G18="",$H18="",$H18&lt;$G18),"",IF(AND(T$9&lt;=$H18,T$9+6&gt;=$G18),1,""))</x:f>
      </x:c>
      <x:c r="U18" s="79" t="str">
        <x:f t="shared" si="3">IF(OR($H$6="",$G18="",$H18="",$H18&lt;$G18),"",IF(AND(U$9&lt;=$H18,U$9+6&gt;=$G18),1,""))</x:f>
      </x:c>
      <x:c r="V18" s="80" t="str">
        <x:f t="shared" si="3">IF(OR($H$6="",$G18="",$H18="",$H18&lt;$G18),"",IF(AND(V$9&lt;=$H18,V$9+6&gt;=$G18),1,""))</x:f>
      </x:c>
      <x:c r="W18" s="79" t="str">
        <x:f t="shared" si="3">IF(OR($H$6="",$G18="",$H18="",$H18&lt;$G18),"",IF(AND(W$9&lt;=$H18,W$9+6&gt;=$G18),1,""))</x:f>
      </x:c>
      <x:c r="X18" s="80" t="str">
        <x:f t="shared" si="3">IF(OR($H$6="",$G18="",$H18="",$H18&lt;$G18),"",IF(AND(X$9&lt;=$H18,X$9+6&gt;=$G18),1,""))</x:f>
      </x:c>
      <x:c r="Y18" s="79" t="str">
        <x:f t="shared" si="3">IF(OR($H$6="",$G18="",$H18="",$H18&lt;$G18),"",IF(AND(Y$9&lt;=$H18,Y$9+6&gt;=$G18),1,""))</x:f>
      </x:c>
      <x:c r="Z18" s="80" t="str">
        <x:f t="shared" si="3">IF(OR($H$6="",$G18="",$H18="",$H18&lt;$G18),"",IF(AND(Z$9&lt;=$H18,Z$9+6&gt;=$G18),1,""))</x:f>
      </x:c>
      <x:c r="AA18" s="79" t="str">
        <x:f t="shared" si="3">IF(OR($H$6="",$G18="",$H18="",$H18&lt;$G18),"",IF(AND(AA$9&lt;=$H18,AA$9+6&gt;=$G18),1,""))</x:f>
      </x:c>
      <x:c r="AB18" s="80" t="str">
        <x:f t="shared" si="3">IF(OR($H$6="",$G18="",$H18="",$H18&lt;$G18),"",IF(AND(AB$9&lt;=$H18,AB$9+6&gt;=$G18),1,""))</x:f>
      </x:c>
      <x:c r="AC18" s="79" t="str">
        <x:f t="shared" si="3">IF(OR($H$6="",$G18="",$H18="",$H18&lt;$G18),"",IF(AND(AC$9&lt;=$H18,AC$9+6&gt;=$G18),1,""))</x:f>
      </x:c>
      <x:c r="AD18" s="80" t="str">
        <x:f t="shared" si="3">IF(OR($H$6="",$G18="",$H18="",$H18&lt;$G18),"",IF(AND(AD$9&lt;=$H18,AD$9+6&gt;=$G18),1,""))</x:f>
      </x:c>
    </x:row>
    <x:row r="19" ht="36" customHeight="1">
      <x:c r="B19" s="81" t="str">
        <x:v>外呼任务</x:v>
      </x:c>
      <x:c r="C19" s="95" t="str">
        <x:v>FUNC-112 继续任务</x:v>
      </x:c>
      <x:c r="D19" s="83"/>
      <x:c r="E19" s="83" t="str">
        <x:v>待确认</x:v>
      </x:c>
      <x:c r="F19" s="83"/>
      <x:c r="G19" s="97"/>
      <x:c r="H19" s="97"/>
      <x:c r="I19" s="78" t="str">
        <x:f t="shared" si="1">IF(OR(G19="",H19="",H19&lt;G19),"",H19-G19+1)</x:f>
      </x:c>
      <x:c r="J19" s="50"/>
      <x:c r="K19" s="79" t="str">
        <x:f t="shared" si="2">IF(OR($H$6="",$G19="",$H19="",$H19&lt;$G19),"",IF(AND(K$9&lt;=$H19,K$9+6&gt;=$G19),1,""))</x:f>
      </x:c>
      <x:c r="L19" s="80" t="str">
        <x:f t="shared" si="2">IF(OR($H$6="",$G19="",$H19="",$H19&lt;$G19),"",IF(AND(L$9&lt;=$H19,L$9+6&gt;=$G19),1,""))</x:f>
      </x:c>
      <x:c r="M19" s="79" t="str">
        <x:f t="shared" si="2">IF(OR($H$6="",$G19="",$H19="",$H19&lt;$G19),"",IF(AND(M$9&lt;=$H19,M$9+6&gt;=$G19),1,""))</x:f>
      </x:c>
      <x:c r="N19" s="80" t="str">
        <x:f t="shared" si="2">IF(OR($H$6="",$G19="",$H19="",$H19&lt;$G19),"",IF(AND(N$9&lt;=$H19,N$9+6&gt;=$G19),1,""))</x:f>
      </x:c>
      <x:c r="O19" s="79" t="str">
        <x:f t="shared" si="2">IF(OR($H$6="",$G19="",$H19="",$H19&lt;$G19),"",IF(AND(O$9&lt;=$H19,O$9+6&gt;=$G19),1,""))</x:f>
      </x:c>
      <x:c r="P19" s="80" t="str">
        <x:f t="shared" si="2">IF(OR($H$6="",$G19="",$H19="",$H19&lt;$G19),"",IF(AND(P$9&lt;=$H19,P$9+6&gt;=$G19),1,""))</x:f>
      </x:c>
      <x:c r="Q19" s="79" t="str">
        <x:f t="shared" si="2">IF(OR($H$6="",$G19="",$H19="",$H19&lt;$G19),"",IF(AND(Q$9&lt;=$H19,Q$9+6&gt;=$G19),1,""))</x:f>
      </x:c>
      <x:c r="R19" s="80" t="str">
        <x:f t="shared" si="2">IF(OR($H$6="",$G19="",$H19="",$H19&lt;$G19),"",IF(AND(R$9&lt;=$H19,R$9+6&gt;=$G19),1,""))</x:f>
      </x:c>
      <x:c r="S19" s="79" t="str">
        <x:f t="shared" si="2">IF(OR($H$6="",$G19="",$H19="",$H19&lt;$G19),"",IF(AND(S$9&lt;=$H19,S$9+6&gt;=$G19),1,""))</x:f>
      </x:c>
      <x:c r="T19" s="80" t="str">
        <x:f t="shared" si="2">IF(OR($H$6="",$G19="",$H19="",$H19&lt;$G19),"",IF(AND(T$9&lt;=$H19,T$9+6&gt;=$G19),1,""))</x:f>
      </x:c>
      <x:c r="U19" s="79" t="str">
        <x:f t="shared" si="3">IF(OR($H$6="",$G19="",$H19="",$H19&lt;$G19),"",IF(AND(U$9&lt;=$H19,U$9+6&gt;=$G19),1,""))</x:f>
      </x:c>
      <x:c r="V19" s="80" t="str">
        <x:f t="shared" si="3">IF(OR($H$6="",$G19="",$H19="",$H19&lt;$G19),"",IF(AND(V$9&lt;=$H19,V$9+6&gt;=$G19),1,""))</x:f>
      </x:c>
      <x:c r="W19" s="79" t="str">
        <x:f t="shared" si="3">IF(OR($H$6="",$G19="",$H19="",$H19&lt;$G19),"",IF(AND(W$9&lt;=$H19,W$9+6&gt;=$G19),1,""))</x:f>
      </x:c>
      <x:c r="X19" s="80" t="str">
        <x:f t="shared" si="3">IF(OR($H$6="",$G19="",$H19="",$H19&lt;$G19),"",IF(AND(X$9&lt;=$H19,X$9+6&gt;=$G19),1,""))</x:f>
      </x:c>
      <x:c r="Y19" s="79" t="str">
        <x:f t="shared" si="3">IF(OR($H$6="",$G19="",$H19="",$H19&lt;$G19),"",IF(AND(Y$9&lt;=$H19,Y$9+6&gt;=$G19),1,""))</x:f>
      </x:c>
      <x:c r="Z19" s="80" t="str">
        <x:f t="shared" si="3">IF(OR($H$6="",$G19="",$H19="",$H19&lt;$G19),"",IF(AND(Z$9&lt;=$H19,Z$9+6&gt;=$G19),1,""))</x:f>
      </x:c>
      <x:c r="AA19" s="79" t="str">
        <x:f t="shared" si="3">IF(OR($H$6="",$G19="",$H19="",$H19&lt;$G19),"",IF(AND(AA$9&lt;=$H19,AA$9+6&gt;=$G19),1,""))</x:f>
      </x:c>
      <x:c r="AB19" s="80" t="str">
        <x:f t="shared" si="3">IF(OR($H$6="",$G19="",$H19="",$H19&lt;$G19),"",IF(AND(AB$9&lt;=$H19,AB$9+6&gt;=$G19),1,""))</x:f>
      </x:c>
      <x:c r="AC19" s="79" t="str">
        <x:f t="shared" si="3">IF(OR($H$6="",$G19="",$H19="",$H19&lt;$G19),"",IF(AND(AC$9&lt;=$H19,AC$9+6&gt;=$G19),1,""))</x:f>
      </x:c>
      <x:c r="AD19" s="80" t="str">
        <x:f t="shared" si="3">IF(OR($H$6="",$G19="",$H19="",$H19&lt;$G19),"",IF(AND(AD$9&lt;=$H19,AD$9+6&gt;=$G19),1,""))</x:f>
      </x:c>
    </x:row>
    <x:row r="20" ht="36" customHeight="1">
      <x:c r="B20" s="74" t="str">
        <x:v>外呼任务</x:v>
      </x:c>
      <x:c r="C20" s="94" t="str">
        <x:v>FUNC-250 删除未启动任务</x:v>
      </x:c>
      <x:c r="D20" s="76"/>
      <x:c r="E20" s="76" t="str">
        <x:v>待确认</x:v>
      </x:c>
      <x:c r="F20" s="76"/>
      <x:c r="G20" s="96"/>
      <x:c r="H20" s="96"/>
      <x:c r="I20" s="78" t="str">
        <x:f t="shared" si="1">IF(OR(G20="",H20="",H20&lt;G20),"",H20-G20+1)</x:f>
      </x:c>
      <x:c r="J20" s="50"/>
      <x:c r="K20" s="79" t="str">
        <x:f t="shared" ref="K20:T29" si="4">IF(OR($H$6="",$G20="",$H20="",$H20&lt;$G20),"",IF(AND(K$9&lt;=$H20,K$9+6&gt;=$G20),1,""))</x:f>
      </x:c>
      <x:c r="L20" s="80" t="str">
        <x:f t="shared" si="4">IF(OR($H$6="",$G20="",$H20="",$H20&lt;$G20),"",IF(AND(L$9&lt;=$H20,L$9+6&gt;=$G20),1,""))</x:f>
      </x:c>
      <x:c r="M20" s="79" t="str">
        <x:f t="shared" si="4">IF(OR($H$6="",$G20="",$H20="",$H20&lt;$G20),"",IF(AND(M$9&lt;=$H20,M$9+6&gt;=$G20),1,""))</x:f>
      </x:c>
      <x:c r="N20" s="80" t="str">
        <x:f t="shared" si="4">IF(OR($H$6="",$G20="",$H20="",$H20&lt;$G20),"",IF(AND(N$9&lt;=$H20,N$9+6&gt;=$G20),1,""))</x:f>
      </x:c>
      <x:c r="O20" s="79" t="str">
        <x:f t="shared" si="4">IF(OR($H$6="",$G20="",$H20="",$H20&lt;$G20),"",IF(AND(O$9&lt;=$H20,O$9+6&gt;=$G20),1,""))</x:f>
      </x:c>
      <x:c r="P20" s="80" t="str">
        <x:f t="shared" si="4">IF(OR($H$6="",$G20="",$H20="",$H20&lt;$G20),"",IF(AND(P$9&lt;=$H20,P$9+6&gt;=$G20),1,""))</x:f>
      </x:c>
      <x:c r="Q20" s="79" t="str">
        <x:f t="shared" si="4">IF(OR($H$6="",$G20="",$H20="",$H20&lt;$G20),"",IF(AND(Q$9&lt;=$H20,Q$9+6&gt;=$G20),1,""))</x:f>
      </x:c>
      <x:c r="R20" s="80" t="str">
        <x:f t="shared" si="4">IF(OR($H$6="",$G20="",$H20="",$H20&lt;$G20),"",IF(AND(R$9&lt;=$H20,R$9+6&gt;=$G20),1,""))</x:f>
      </x:c>
      <x:c r="S20" s="79" t="str">
        <x:f t="shared" si="4">IF(OR($H$6="",$G20="",$H20="",$H20&lt;$G20),"",IF(AND(S$9&lt;=$H20,S$9+6&gt;=$G20),1,""))</x:f>
      </x:c>
      <x:c r="T20" s="80" t="str">
        <x:f t="shared" si="4">IF(OR($H$6="",$G20="",$H20="",$H20&lt;$G20),"",IF(AND(T$9&lt;=$H20,T$9+6&gt;=$G20),1,""))</x:f>
      </x:c>
      <x:c r="U20" s="79" t="str">
        <x:f t="shared" ref="U20:AD29" si="5">IF(OR($H$6="",$G20="",$H20="",$H20&lt;$G20),"",IF(AND(U$9&lt;=$H20,U$9+6&gt;=$G20),1,""))</x:f>
      </x:c>
      <x:c r="V20" s="80" t="str">
        <x:f t="shared" si="5">IF(OR($H$6="",$G20="",$H20="",$H20&lt;$G20),"",IF(AND(V$9&lt;=$H20,V$9+6&gt;=$G20),1,""))</x:f>
      </x:c>
      <x:c r="W20" s="79" t="str">
        <x:f t="shared" si="5">IF(OR($H$6="",$G20="",$H20="",$H20&lt;$G20),"",IF(AND(W$9&lt;=$H20,W$9+6&gt;=$G20),1,""))</x:f>
      </x:c>
      <x:c r="X20" s="80" t="str">
        <x:f t="shared" si="5">IF(OR($H$6="",$G20="",$H20="",$H20&lt;$G20),"",IF(AND(X$9&lt;=$H20,X$9+6&gt;=$G20),1,""))</x:f>
      </x:c>
      <x:c r="Y20" s="79" t="str">
        <x:f t="shared" si="5">IF(OR($H$6="",$G20="",$H20="",$H20&lt;$G20),"",IF(AND(Y$9&lt;=$H20,Y$9+6&gt;=$G20),1,""))</x:f>
      </x:c>
      <x:c r="Z20" s="80" t="str">
        <x:f t="shared" si="5">IF(OR($H$6="",$G20="",$H20="",$H20&lt;$G20),"",IF(AND(Z$9&lt;=$H20,Z$9+6&gt;=$G20),1,""))</x:f>
      </x:c>
      <x:c r="AA20" s="79" t="str">
        <x:f t="shared" si="5">IF(OR($H$6="",$G20="",$H20="",$H20&lt;$G20),"",IF(AND(AA$9&lt;=$H20,AA$9+6&gt;=$G20),1,""))</x:f>
      </x:c>
      <x:c r="AB20" s="80" t="str">
        <x:f t="shared" si="5">IF(OR($H$6="",$G20="",$H20="",$H20&lt;$G20),"",IF(AND(AB$9&lt;=$H20,AB$9+6&gt;=$G20),1,""))</x:f>
      </x:c>
      <x:c r="AC20" s="79" t="str">
        <x:f t="shared" si="5">IF(OR($H$6="",$G20="",$H20="",$H20&lt;$G20),"",IF(AND(AC$9&lt;=$H20,AC$9+6&gt;=$G20),1,""))</x:f>
      </x:c>
      <x:c r="AD20" s="80" t="str">
        <x:f t="shared" si="5">IF(OR($H$6="",$G20="",$H20="",$H20&lt;$G20),"",IF(AND(AD$9&lt;=$H20,AD$9+6&gt;=$G20),1,""))</x:f>
      </x:c>
    </x:row>
    <x:row r="21" ht="36" customHeight="1">
      <x:c r="B21" s="81" t="str">
        <x:v>呼入服务</x:v>
      </x:c>
      <x:c r="C21" s="95" t="str">
        <x:v>FUNC-251 保存呼入服务规则</x:v>
      </x:c>
      <x:c r="D21" s="83"/>
      <x:c r="E21" s="83" t="str">
        <x:v>待确认</x:v>
      </x:c>
      <x:c r="F21" s="83"/>
      <x:c r="G21" s="97"/>
      <x:c r="H21" s="97"/>
      <x:c r="I21" s="78" t="str">
        <x:f t="shared" si="1">IF(OR(G21="",H21="",H21&lt;G21),"",H21-G21+1)</x:f>
      </x:c>
      <x:c r="J21" s="50"/>
      <x:c r="K21" s="79" t="str">
        <x:f t="shared" si="4">IF(OR($H$6="",$G21="",$H21="",$H21&lt;$G21),"",IF(AND(K$9&lt;=$H21,K$9+6&gt;=$G21),1,""))</x:f>
      </x:c>
      <x:c r="L21" s="80" t="str">
        <x:f t="shared" si="4">IF(OR($H$6="",$G21="",$H21="",$H21&lt;$G21),"",IF(AND(L$9&lt;=$H21,L$9+6&gt;=$G21),1,""))</x:f>
      </x:c>
      <x:c r="M21" s="79" t="str">
        <x:f t="shared" si="4">IF(OR($H$6="",$G21="",$H21="",$H21&lt;$G21),"",IF(AND(M$9&lt;=$H21,M$9+6&gt;=$G21),1,""))</x:f>
      </x:c>
      <x:c r="N21" s="80" t="str">
        <x:f t="shared" si="4">IF(OR($H$6="",$G21="",$H21="",$H21&lt;$G21),"",IF(AND(N$9&lt;=$H21,N$9+6&gt;=$G21),1,""))</x:f>
      </x:c>
      <x:c r="O21" s="79" t="str">
        <x:f t="shared" si="4">IF(OR($H$6="",$G21="",$H21="",$H21&lt;$G21),"",IF(AND(O$9&lt;=$H21,O$9+6&gt;=$G21),1,""))</x:f>
      </x:c>
      <x:c r="P21" s="80" t="str">
        <x:f t="shared" si="4">IF(OR($H$6="",$G21="",$H21="",$H21&lt;$G21),"",IF(AND(P$9&lt;=$H21,P$9+6&gt;=$G21),1,""))</x:f>
      </x:c>
      <x:c r="Q21" s="79" t="str">
        <x:f t="shared" si="4">IF(OR($H$6="",$G21="",$H21="",$H21&lt;$G21),"",IF(AND(Q$9&lt;=$H21,Q$9+6&gt;=$G21),1,""))</x:f>
      </x:c>
      <x:c r="R21" s="80" t="str">
        <x:f t="shared" si="4">IF(OR($H$6="",$G21="",$H21="",$H21&lt;$G21),"",IF(AND(R$9&lt;=$H21,R$9+6&gt;=$G21),1,""))</x:f>
      </x:c>
      <x:c r="S21" s="79" t="str">
        <x:f t="shared" si="4">IF(OR($H$6="",$G21="",$H21="",$H21&lt;$G21),"",IF(AND(S$9&lt;=$H21,S$9+6&gt;=$G21),1,""))</x:f>
      </x:c>
      <x:c r="T21" s="80" t="str">
        <x:f t="shared" si="4">IF(OR($H$6="",$G21="",$H21="",$H21&lt;$G21),"",IF(AND(T$9&lt;=$H21,T$9+6&gt;=$G21),1,""))</x:f>
      </x:c>
      <x:c r="U21" s="79" t="str">
        <x:f t="shared" si="5">IF(OR($H$6="",$G21="",$H21="",$H21&lt;$G21),"",IF(AND(U$9&lt;=$H21,U$9+6&gt;=$G21),1,""))</x:f>
      </x:c>
      <x:c r="V21" s="80" t="str">
        <x:f t="shared" si="5">IF(OR($H$6="",$G21="",$H21="",$H21&lt;$G21),"",IF(AND(V$9&lt;=$H21,V$9+6&gt;=$G21),1,""))</x:f>
      </x:c>
      <x:c r="W21" s="79" t="str">
        <x:f t="shared" si="5">IF(OR($H$6="",$G21="",$H21="",$H21&lt;$G21),"",IF(AND(W$9&lt;=$H21,W$9+6&gt;=$G21),1,""))</x:f>
      </x:c>
      <x:c r="X21" s="80" t="str">
        <x:f t="shared" si="5">IF(OR($H$6="",$G21="",$H21="",$H21&lt;$G21),"",IF(AND(X$9&lt;=$H21,X$9+6&gt;=$G21),1,""))</x:f>
      </x:c>
      <x:c r="Y21" s="79" t="str">
        <x:f t="shared" si="5">IF(OR($H$6="",$G21="",$H21="",$H21&lt;$G21),"",IF(AND(Y$9&lt;=$H21,Y$9+6&gt;=$G21),1,""))</x:f>
      </x:c>
      <x:c r="Z21" s="80" t="str">
        <x:f t="shared" si="5">IF(OR($H$6="",$G21="",$H21="",$H21&lt;$G21),"",IF(AND(Z$9&lt;=$H21,Z$9+6&gt;=$G21),1,""))</x:f>
      </x:c>
      <x:c r="AA21" s="79" t="str">
        <x:f t="shared" si="5">IF(OR($H$6="",$G21="",$H21="",$H21&lt;$G21),"",IF(AND(AA$9&lt;=$H21,AA$9+6&gt;=$G21),1,""))</x:f>
      </x:c>
      <x:c r="AB21" s="80" t="str">
        <x:f t="shared" si="5">IF(OR($H$6="",$G21="",$H21="",$H21&lt;$G21),"",IF(AND(AB$9&lt;=$H21,AB$9+6&gt;=$G21),1,""))</x:f>
      </x:c>
      <x:c r="AC21" s="79" t="str">
        <x:f t="shared" si="5">IF(OR($H$6="",$G21="",$H21="",$H21&lt;$G21),"",IF(AND(AC$9&lt;=$H21,AC$9+6&gt;=$G21),1,""))</x:f>
      </x:c>
      <x:c r="AD21" s="80" t="str">
        <x:f t="shared" si="5">IF(OR($H$6="",$G21="",$H21="",$H21&lt;$G21),"",IF(AND(AD$9&lt;=$H21,AD$9+6&gt;=$G21),1,""))</x:f>
      </x:c>
    </x:row>
    <x:row r="22" ht="36" customHeight="1">
      <x:c r="B22" s="74" t="str">
        <x:v>呼入服务</x:v>
      </x:c>
      <x:c r="C22" s="94" t="str">
        <x:v>FUNC-254 执行呼入兜底</x:v>
      </x:c>
      <x:c r="D22" s="76"/>
      <x:c r="E22" s="76" t="str">
        <x:v>待确认</x:v>
      </x:c>
      <x:c r="F22" s="76"/>
      <x:c r="G22" s="96"/>
      <x:c r="H22" s="96"/>
      <x:c r="I22" s="78" t="str">
        <x:f t="shared" si="1">IF(OR(G22="",H22="",H22&lt;G22),"",H22-G22+1)</x:f>
      </x:c>
      <x:c r="J22" s="50"/>
      <x:c r="K22" s="79" t="str">
        <x:f t="shared" si="4">IF(OR($H$6="",$G22="",$H22="",$H22&lt;$G22),"",IF(AND(K$9&lt;=$H22,K$9+6&gt;=$G22),1,""))</x:f>
      </x:c>
      <x:c r="L22" s="80" t="str">
        <x:f t="shared" si="4">IF(OR($H$6="",$G22="",$H22="",$H22&lt;$G22),"",IF(AND(L$9&lt;=$H22,L$9+6&gt;=$G22),1,""))</x:f>
      </x:c>
      <x:c r="M22" s="79" t="str">
        <x:f t="shared" si="4">IF(OR($H$6="",$G22="",$H22="",$H22&lt;$G22),"",IF(AND(M$9&lt;=$H22,M$9+6&gt;=$G22),1,""))</x:f>
      </x:c>
      <x:c r="N22" s="80" t="str">
        <x:f t="shared" si="4">IF(OR($H$6="",$G22="",$H22="",$H22&lt;$G22),"",IF(AND(N$9&lt;=$H22,N$9+6&gt;=$G22),1,""))</x:f>
      </x:c>
      <x:c r="O22" s="79" t="str">
        <x:f t="shared" si="4">IF(OR($H$6="",$G22="",$H22="",$H22&lt;$G22),"",IF(AND(O$9&lt;=$H22,O$9+6&gt;=$G22),1,""))</x:f>
      </x:c>
      <x:c r="P22" s="80" t="str">
        <x:f t="shared" si="4">IF(OR($H$6="",$G22="",$H22="",$H22&lt;$G22),"",IF(AND(P$9&lt;=$H22,P$9+6&gt;=$G22),1,""))</x:f>
      </x:c>
      <x:c r="Q22" s="79" t="str">
        <x:f t="shared" si="4">IF(OR($H$6="",$G22="",$H22="",$H22&lt;$G22),"",IF(AND(Q$9&lt;=$H22,Q$9+6&gt;=$G22),1,""))</x:f>
      </x:c>
      <x:c r="R22" s="80" t="str">
        <x:f t="shared" si="4">IF(OR($H$6="",$G22="",$H22="",$H22&lt;$G22),"",IF(AND(R$9&lt;=$H22,R$9+6&gt;=$G22),1,""))</x:f>
      </x:c>
      <x:c r="S22" s="79" t="str">
        <x:f t="shared" si="4">IF(OR($H$6="",$G22="",$H22="",$H22&lt;$G22),"",IF(AND(S$9&lt;=$H22,S$9+6&gt;=$G22),1,""))</x:f>
      </x:c>
      <x:c r="T22" s="80" t="str">
        <x:f t="shared" si="4">IF(OR($H$6="",$G22="",$H22="",$H22&lt;$G22),"",IF(AND(T$9&lt;=$H22,T$9+6&gt;=$G22),1,""))</x:f>
      </x:c>
      <x:c r="U22" s="79" t="str">
        <x:f t="shared" si="5">IF(OR($H$6="",$G22="",$H22="",$H22&lt;$G22),"",IF(AND(U$9&lt;=$H22,U$9+6&gt;=$G22),1,""))</x:f>
      </x:c>
      <x:c r="V22" s="80" t="str">
        <x:f t="shared" si="5">IF(OR($H$6="",$G22="",$H22="",$H22&lt;$G22),"",IF(AND(V$9&lt;=$H22,V$9+6&gt;=$G22),1,""))</x:f>
      </x:c>
      <x:c r="W22" s="79" t="str">
        <x:f t="shared" si="5">IF(OR($H$6="",$G22="",$H22="",$H22&lt;$G22),"",IF(AND(W$9&lt;=$H22,W$9+6&gt;=$G22),1,""))</x:f>
      </x:c>
      <x:c r="X22" s="80" t="str">
        <x:f t="shared" si="5">IF(OR($H$6="",$G22="",$H22="",$H22&lt;$G22),"",IF(AND(X$9&lt;=$H22,X$9+6&gt;=$G22),1,""))</x:f>
      </x:c>
      <x:c r="Y22" s="79" t="str">
        <x:f t="shared" si="5">IF(OR($H$6="",$G22="",$H22="",$H22&lt;$G22),"",IF(AND(Y$9&lt;=$H22,Y$9+6&gt;=$G22),1,""))</x:f>
      </x:c>
      <x:c r="Z22" s="80" t="str">
        <x:f t="shared" si="5">IF(OR($H$6="",$G22="",$H22="",$H22&lt;$G22),"",IF(AND(Z$9&lt;=$H22,Z$9+6&gt;=$G22),1,""))</x:f>
      </x:c>
      <x:c r="AA22" s="79" t="str">
        <x:f t="shared" si="5">IF(OR($H$6="",$G22="",$H22="",$H22&lt;$G22),"",IF(AND(AA$9&lt;=$H22,AA$9+6&gt;=$G22),1,""))</x:f>
      </x:c>
      <x:c r="AB22" s="80" t="str">
        <x:f t="shared" si="5">IF(OR($H$6="",$G22="",$H22="",$H22&lt;$G22),"",IF(AND(AB$9&lt;=$H22,AB$9+6&gt;=$G22),1,""))</x:f>
      </x:c>
      <x:c r="AC22" s="79" t="str">
        <x:f t="shared" si="5">IF(OR($H$6="",$G22="",$H22="",$H22&lt;$G22),"",IF(AND(AC$9&lt;=$H22,AC$9+6&gt;=$G22),1,""))</x:f>
      </x:c>
      <x:c r="AD22" s="80" t="str">
        <x:f t="shared" si="5">IF(OR($H$6="",$G22="",$H22="",$H22&lt;$G22),"",IF(AND(AD$9&lt;=$H22,AD$9+6&gt;=$G22),1,""))</x:f>
      </x:c>
    </x:row>
    <x:row r="23" ht="36" customHeight="1">
      <x:c r="B23" s="81" t="str">
        <x:v>坐席</x:v>
      </x:c>
      <x:c r="C23" s="95" t="str">
        <x:v>FUNC-214 停用坐席</x:v>
      </x:c>
      <x:c r="D23" s="83"/>
      <x:c r="E23" s="83" t="str">
        <x:v>待确认</x:v>
      </x:c>
      <x:c r="F23" s="83"/>
      <x:c r="G23" s="97"/>
      <x:c r="H23" s="97"/>
      <x:c r="I23" s="78" t="str">
        <x:f t="shared" si="1">IF(OR(G23="",H23="",H23&lt;G23),"",H23-G23+1)</x:f>
      </x:c>
      <x:c r="J23" s="50"/>
      <x:c r="K23" s="79" t="str">
        <x:f t="shared" si="4">IF(OR($H$6="",$G23="",$H23="",$H23&lt;$G23),"",IF(AND(K$9&lt;=$H23,K$9+6&gt;=$G23),1,""))</x:f>
      </x:c>
      <x:c r="L23" s="80" t="str">
        <x:f t="shared" si="4">IF(OR($H$6="",$G23="",$H23="",$H23&lt;$G23),"",IF(AND(L$9&lt;=$H23,L$9+6&gt;=$G23),1,""))</x:f>
      </x:c>
      <x:c r="M23" s="79" t="str">
        <x:f t="shared" si="4">IF(OR($H$6="",$G23="",$H23="",$H23&lt;$G23),"",IF(AND(M$9&lt;=$H23,M$9+6&gt;=$G23),1,""))</x:f>
      </x:c>
      <x:c r="N23" s="80" t="str">
        <x:f t="shared" si="4">IF(OR($H$6="",$G23="",$H23="",$H23&lt;$G23),"",IF(AND(N$9&lt;=$H23,N$9+6&gt;=$G23),1,""))</x:f>
      </x:c>
      <x:c r="O23" s="79" t="str">
        <x:f t="shared" si="4">IF(OR($H$6="",$G23="",$H23="",$H23&lt;$G23),"",IF(AND(O$9&lt;=$H23,O$9+6&gt;=$G23),1,""))</x:f>
      </x:c>
      <x:c r="P23" s="80" t="str">
        <x:f t="shared" si="4">IF(OR($H$6="",$G23="",$H23="",$H23&lt;$G23),"",IF(AND(P$9&lt;=$H23,P$9+6&gt;=$G23),1,""))</x:f>
      </x:c>
      <x:c r="Q23" s="79" t="str">
        <x:f t="shared" si="4">IF(OR($H$6="",$G23="",$H23="",$H23&lt;$G23),"",IF(AND(Q$9&lt;=$H23,Q$9+6&gt;=$G23),1,""))</x:f>
      </x:c>
      <x:c r="R23" s="80" t="str">
        <x:f t="shared" si="4">IF(OR($H$6="",$G23="",$H23="",$H23&lt;$G23),"",IF(AND(R$9&lt;=$H23,R$9+6&gt;=$G23),1,""))</x:f>
      </x:c>
      <x:c r="S23" s="79" t="str">
        <x:f t="shared" si="4">IF(OR($H$6="",$G23="",$H23="",$H23&lt;$G23),"",IF(AND(S$9&lt;=$H23,S$9+6&gt;=$G23),1,""))</x:f>
      </x:c>
      <x:c r="T23" s="80" t="str">
        <x:f t="shared" si="4">IF(OR($H$6="",$G23="",$H23="",$H23&lt;$G23),"",IF(AND(T$9&lt;=$H23,T$9+6&gt;=$G23),1,""))</x:f>
      </x:c>
      <x:c r="U23" s="79" t="str">
        <x:f t="shared" si="5">IF(OR($H$6="",$G23="",$H23="",$H23&lt;$G23),"",IF(AND(U$9&lt;=$H23,U$9+6&gt;=$G23),1,""))</x:f>
      </x:c>
      <x:c r="V23" s="80" t="str">
        <x:f t="shared" si="5">IF(OR($H$6="",$G23="",$H23="",$H23&lt;$G23),"",IF(AND(V$9&lt;=$H23,V$9+6&gt;=$G23),1,""))</x:f>
      </x:c>
      <x:c r="W23" s="79" t="str">
        <x:f t="shared" si="5">IF(OR($H$6="",$G23="",$H23="",$H23&lt;$G23),"",IF(AND(W$9&lt;=$H23,W$9+6&gt;=$G23),1,""))</x:f>
      </x:c>
      <x:c r="X23" s="80" t="str">
        <x:f t="shared" si="5">IF(OR($H$6="",$G23="",$H23="",$H23&lt;$G23),"",IF(AND(X$9&lt;=$H23,X$9+6&gt;=$G23),1,""))</x:f>
      </x:c>
      <x:c r="Y23" s="79" t="str">
        <x:f t="shared" si="5">IF(OR($H$6="",$G23="",$H23="",$H23&lt;$G23),"",IF(AND(Y$9&lt;=$H23,Y$9+6&gt;=$G23),1,""))</x:f>
      </x:c>
      <x:c r="Z23" s="80" t="str">
        <x:f t="shared" si="5">IF(OR($H$6="",$G23="",$H23="",$H23&lt;$G23),"",IF(AND(Z$9&lt;=$H23,Z$9+6&gt;=$G23),1,""))</x:f>
      </x:c>
      <x:c r="AA23" s="79" t="str">
        <x:f t="shared" si="5">IF(OR($H$6="",$G23="",$H23="",$H23&lt;$G23),"",IF(AND(AA$9&lt;=$H23,AA$9+6&gt;=$G23),1,""))</x:f>
      </x:c>
      <x:c r="AB23" s="80" t="str">
        <x:f t="shared" si="5">IF(OR($H$6="",$G23="",$H23="",$H23&lt;$G23),"",IF(AND(AB$9&lt;=$H23,AB$9+6&gt;=$G23),1,""))</x:f>
      </x:c>
      <x:c r="AC23" s="79" t="str">
        <x:f t="shared" si="5">IF(OR($H$6="",$G23="",$H23="",$H23&lt;$G23),"",IF(AND(AC$9&lt;=$H23,AC$9+6&gt;=$G23),1,""))</x:f>
      </x:c>
      <x:c r="AD23" s="80" t="str">
        <x:f t="shared" si="5">IF(OR($H$6="",$G23="",$H23="",$H23&lt;$G23),"",IF(AND(AD$9&lt;=$H23,AD$9+6&gt;=$G23),1,""))</x:f>
      </x:c>
    </x:row>
    <x:row r="24" ht="36" customHeight="1">
      <x:c r="B24" s="74" t="str">
        <x:v>坐席</x:v>
      </x:c>
      <x:c r="C24" s="94" t="str">
        <x:v>FUNC-215 恢复坐席</x:v>
      </x:c>
      <x:c r="D24" s="76"/>
      <x:c r="E24" s="76" t="str">
        <x:v>待确认</x:v>
      </x:c>
      <x:c r="F24" s="76"/>
      <x:c r="G24" s="96"/>
      <x:c r="H24" s="96"/>
      <x:c r="I24" s="78" t="str">
        <x:f t="shared" si="1">IF(OR(G24="",H24="",H24&lt;G24),"",H24-G24+1)</x:f>
      </x:c>
      <x:c r="J24" s="50"/>
      <x:c r="K24" s="79" t="str">
        <x:f t="shared" si="4">IF(OR($H$6="",$G24="",$H24="",$H24&lt;$G24),"",IF(AND(K$9&lt;=$H24,K$9+6&gt;=$G24),1,""))</x:f>
      </x:c>
      <x:c r="L24" s="80" t="str">
        <x:f t="shared" si="4">IF(OR($H$6="",$G24="",$H24="",$H24&lt;$G24),"",IF(AND(L$9&lt;=$H24,L$9+6&gt;=$G24),1,""))</x:f>
      </x:c>
      <x:c r="M24" s="79" t="str">
        <x:f t="shared" si="4">IF(OR($H$6="",$G24="",$H24="",$H24&lt;$G24),"",IF(AND(M$9&lt;=$H24,M$9+6&gt;=$G24),1,""))</x:f>
      </x:c>
      <x:c r="N24" s="80" t="str">
        <x:f t="shared" si="4">IF(OR($H$6="",$G24="",$H24="",$H24&lt;$G24),"",IF(AND(N$9&lt;=$H24,N$9+6&gt;=$G24),1,""))</x:f>
      </x:c>
      <x:c r="O24" s="79" t="str">
        <x:f t="shared" si="4">IF(OR($H$6="",$G24="",$H24="",$H24&lt;$G24),"",IF(AND(O$9&lt;=$H24,O$9+6&gt;=$G24),1,""))</x:f>
      </x:c>
      <x:c r="P24" s="80" t="str">
        <x:f t="shared" si="4">IF(OR($H$6="",$G24="",$H24="",$H24&lt;$G24),"",IF(AND(P$9&lt;=$H24,P$9+6&gt;=$G24),1,""))</x:f>
      </x:c>
      <x:c r="Q24" s="79" t="str">
        <x:f t="shared" si="4">IF(OR($H$6="",$G24="",$H24="",$H24&lt;$G24),"",IF(AND(Q$9&lt;=$H24,Q$9+6&gt;=$G24),1,""))</x:f>
      </x:c>
      <x:c r="R24" s="80" t="str">
        <x:f t="shared" si="4">IF(OR($H$6="",$G24="",$H24="",$H24&lt;$G24),"",IF(AND(R$9&lt;=$H24,R$9+6&gt;=$G24),1,""))</x:f>
      </x:c>
      <x:c r="S24" s="79" t="str">
        <x:f t="shared" si="4">IF(OR($H$6="",$G24="",$H24="",$H24&lt;$G24),"",IF(AND(S$9&lt;=$H24,S$9+6&gt;=$G24),1,""))</x:f>
      </x:c>
      <x:c r="T24" s="80" t="str">
        <x:f t="shared" si="4">IF(OR($H$6="",$G24="",$H24="",$H24&lt;$G24),"",IF(AND(T$9&lt;=$H24,T$9+6&gt;=$G24),1,""))</x:f>
      </x:c>
      <x:c r="U24" s="79" t="str">
        <x:f t="shared" si="5">IF(OR($H$6="",$G24="",$H24="",$H24&lt;$G24),"",IF(AND(U$9&lt;=$H24,U$9+6&gt;=$G24),1,""))</x:f>
      </x:c>
      <x:c r="V24" s="80" t="str">
        <x:f t="shared" si="5">IF(OR($H$6="",$G24="",$H24="",$H24&lt;$G24),"",IF(AND(V$9&lt;=$H24,V$9+6&gt;=$G24),1,""))</x:f>
      </x:c>
      <x:c r="W24" s="79" t="str">
        <x:f t="shared" si="5">IF(OR($H$6="",$G24="",$H24="",$H24&lt;$G24),"",IF(AND(W$9&lt;=$H24,W$9+6&gt;=$G24),1,""))</x:f>
      </x:c>
      <x:c r="X24" s="80" t="str">
        <x:f t="shared" si="5">IF(OR($H$6="",$G24="",$H24="",$H24&lt;$G24),"",IF(AND(X$9&lt;=$H24,X$9+6&gt;=$G24),1,""))</x:f>
      </x:c>
      <x:c r="Y24" s="79" t="str">
        <x:f t="shared" si="5">IF(OR($H$6="",$G24="",$H24="",$H24&lt;$G24),"",IF(AND(Y$9&lt;=$H24,Y$9+6&gt;=$G24),1,""))</x:f>
      </x:c>
      <x:c r="Z24" s="80" t="str">
        <x:f t="shared" si="5">IF(OR($H$6="",$G24="",$H24="",$H24&lt;$G24),"",IF(AND(Z$9&lt;=$H24,Z$9+6&gt;=$G24),1,""))</x:f>
      </x:c>
      <x:c r="AA24" s="79" t="str">
        <x:f t="shared" si="5">IF(OR($H$6="",$G24="",$H24="",$H24&lt;$G24),"",IF(AND(AA$9&lt;=$H24,AA$9+6&gt;=$G24),1,""))</x:f>
      </x:c>
      <x:c r="AB24" s="80" t="str">
        <x:f t="shared" si="5">IF(OR($H$6="",$G24="",$H24="",$H24&lt;$G24),"",IF(AND(AB$9&lt;=$H24,AB$9+6&gt;=$G24),1,""))</x:f>
      </x:c>
      <x:c r="AC24" s="79" t="str">
        <x:f t="shared" si="5">IF(OR($H$6="",$G24="",$H24="",$H24&lt;$G24),"",IF(AND(AC$9&lt;=$H24,AC$9+6&gt;=$G24),1,""))</x:f>
      </x:c>
      <x:c r="AD24" s="80" t="str">
        <x:f t="shared" si="5">IF(OR($H$6="",$G24="",$H24="",$H24&lt;$G24),"",IF(AND(AD$9&lt;=$H24,AD$9+6&gt;=$G24),1,""))</x:f>
      </x:c>
    </x:row>
    <x:row r="25" ht="36" customHeight="1">
      <x:c r="B25" s="81" t="str">
        <x:v>技能组</x:v>
      </x:c>
      <x:c r="C25" s="95" t="str">
        <x:v>FUNC-222 修改坐席技能等级</x:v>
      </x:c>
      <x:c r="D25" s="83"/>
      <x:c r="E25" s="83" t="str">
        <x:v>待确认</x:v>
      </x:c>
      <x:c r="F25" s="83"/>
      <x:c r="G25" s="97"/>
      <x:c r="H25" s="97"/>
      <x:c r="I25" s="78" t="str">
        <x:f t="shared" si="1">IF(OR(G25="",H25="",H25&lt;G25),"",H25-G25+1)</x:f>
      </x:c>
      <x:c r="J25" s="50"/>
      <x:c r="K25" s="79" t="str">
        <x:f t="shared" si="4">IF(OR($H$6="",$G25="",$H25="",$H25&lt;$G25),"",IF(AND(K$9&lt;=$H25,K$9+6&gt;=$G25),1,""))</x:f>
      </x:c>
      <x:c r="L25" s="80" t="str">
        <x:f t="shared" si="4">IF(OR($H$6="",$G25="",$H25="",$H25&lt;$G25),"",IF(AND(L$9&lt;=$H25,L$9+6&gt;=$G25),1,""))</x:f>
      </x:c>
      <x:c r="M25" s="79" t="str">
        <x:f t="shared" si="4">IF(OR($H$6="",$G25="",$H25="",$H25&lt;$G25),"",IF(AND(M$9&lt;=$H25,M$9+6&gt;=$G25),1,""))</x:f>
      </x:c>
      <x:c r="N25" s="80" t="str">
        <x:f t="shared" si="4">IF(OR($H$6="",$G25="",$H25="",$H25&lt;$G25),"",IF(AND(N$9&lt;=$H25,N$9+6&gt;=$G25),1,""))</x:f>
      </x:c>
      <x:c r="O25" s="79" t="str">
        <x:f t="shared" si="4">IF(OR($H$6="",$G25="",$H25="",$H25&lt;$G25),"",IF(AND(O$9&lt;=$H25,O$9+6&gt;=$G25),1,""))</x:f>
      </x:c>
      <x:c r="P25" s="80" t="str">
        <x:f t="shared" si="4">IF(OR($H$6="",$G25="",$H25="",$H25&lt;$G25),"",IF(AND(P$9&lt;=$H25,P$9+6&gt;=$G25),1,""))</x:f>
      </x:c>
      <x:c r="Q25" s="79" t="str">
        <x:f t="shared" si="4">IF(OR($H$6="",$G25="",$H25="",$H25&lt;$G25),"",IF(AND(Q$9&lt;=$H25,Q$9+6&gt;=$G25),1,""))</x:f>
      </x:c>
      <x:c r="R25" s="80" t="str">
        <x:f t="shared" si="4">IF(OR($H$6="",$G25="",$H25="",$H25&lt;$G25),"",IF(AND(R$9&lt;=$H25,R$9+6&gt;=$G25),1,""))</x:f>
      </x:c>
      <x:c r="S25" s="79" t="str">
        <x:f t="shared" si="4">IF(OR($H$6="",$G25="",$H25="",$H25&lt;$G25),"",IF(AND(S$9&lt;=$H25,S$9+6&gt;=$G25),1,""))</x:f>
      </x:c>
      <x:c r="T25" s="80" t="str">
        <x:f t="shared" si="4">IF(OR($H$6="",$G25="",$H25="",$H25&lt;$G25),"",IF(AND(T$9&lt;=$H25,T$9+6&gt;=$G25),1,""))</x:f>
      </x:c>
      <x:c r="U25" s="79" t="str">
        <x:f t="shared" si="5">IF(OR($H$6="",$G25="",$H25="",$H25&lt;$G25),"",IF(AND(U$9&lt;=$H25,U$9+6&gt;=$G25),1,""))</x:f>
      </x:c>
      <x:c r="V25" s="80" t="str">
        <x:f t="shared" si="5">IF(OR($H$6="",$G25="",$H25="",$H25&lt;$G25),"",IF(AND(V$9&lt;=$H25,V$9+6&gt;=$G25),1,""))</x:f>
      </x:c>
      <x:c r="W25" s="79" t="str">
        <x:f t="shared" si="5">IF(OR($H$6="",$G25="",$H25="",$H25&lt;$G25),"",IF(AND(W$9&lt;=$H25,W$9+6&gt;=$G25),1,""))</x:f>
      </x:c>
      <x:c r="X25" s="80" t="str">
        <x:f t="shared" si="5">IF(OR($H$6="",$G25="",$H25="",$H25&lt;$G25),"",IF(AND(X$9&lt;=$H25,X$9+6&gt;=$G25),1,""))</x:f>
      </x:c>
      <x:c r="Y25" s="79" t="str">
        <x:f t="shared" si="5">IF(OR($H$6="",$G25="",$H25="",$H25&lt;$G25),"",IF(AND(Y$9&lt;=$H25,Y$9+6&gt;=$G25),1,""))</x:f>
      </x:c>
      <x:c r="Z25" s="80" t="str">
        <x:f t="shared" si="5">IF(OR($H$6="",$G25="",$H25="",$H25&lt;$G25),"",IF(AND(Z$9&lt;=$H25,Z$9+6&gt;=$G25),1,""))</x:f>
      </x:c>
      <x:c r="AA25" s="79" t="str">
        <x:f t="shared" si="5">IF(OR($H$6="",$G25="",$H25="",$H25&lt;$G25),"",IF(AND(AA$9&lt;=$H25,AA$9+6&gt;=$G25),1,""))</x:f>
      </x:c>
      <x:c r="AB25" s="80" t="str">
        <x:f t="shared" si="5">IF(OR($H$6="",$G25="",$H25="",$H25&lt;$G25),"",IF(AND(AB$9&lt;=$H25,AB$9+6&gt;=$G25),1,""))</x:f>
      </x:c>
      <x:c r="AC25" s="79" t="str">
        <x:f t="shared" si="5">IF(OR($H$6="",$G25="",$H25="",$H25&lt;$G25),"",IF(AND(AC$9&lt;=$H25,AC$9+6&gt;=$G25),1,""))</x:f>
      </x:c>
      <x:c r="AD25" s="80" t="str">
        <x:f t="shared" si="5">IF(OR($H$6="",$G25="",$H25="",$H25&lt;$G25),"",IF(AND(AD$9&lt;=$H25,AD$9+6&gt;=$G25),1,""))</x:f>
      </x:c>
    </x:row>
    <x:row r="26" ht="36" customHeight="1">
      <x:c r="B26" s="74" t="str">
        <x:v>外呼任务</x:v>
      </x:c>
      <x:c r="C26" s="94" t="str">
        <x:v>FUNC-111 暂停任务</x:v>
      </x:c>
      <x:c r="D26" s="76"/>
      <x:c r="E26" s="76" t="str">
        <x:v>待确认</x:v>
      </x:c>
      <x:c r="F26" s="76"/>
      <x:c r="G26" s="96"/>
      <x:c r="H26" s="96"/>
      <x:c r="I26" s="78" t="str">
        <x:f t="shared" si="1">IF(OR(G26="",H26="",H26&lt;G26),"",H26-G26+1)</x:f>
      </x:c>
      <x:c r="J26" s="50"/>
      <x:c r="K26" s="79" t="str">
        <x:f t="shared" si="4">IF(OR($H$6="",$G26="",$H26="",$H26&lt;$G26),"",IF(AND(K$9&lt;=$H26,K$9+6&gt;=$G26),1,""))</x:f>
      </x:c>
      <x:c r="L26" s="80" t="str">
        <x:f t="shared" si="4">IF(OR($H$6="",$G26="",$H26="",$H26&lt;$G26),"",IF(AND(L$9&lt;=$H26,L$9+6&gt;=$G26),1,""))</x:f>
      </x:c>
      <x:c r="M26" s="79" t="str">
        <x:f t="shared" si="4">IF(OR($H$6="",$G26="",$H26="",$H26&lt;$G26),"",IF(AND(M$9&lt;=$H26,M$9+6&gt;=$G26),1,""))</x:f>
      </x:c>
      <x:c r="N26" s="80" t="str">
        <x:f t="shared" si="4">IF(OR($H$6="",$G26="",$H26="",$H26&lt;$G26),"",IF(AND(N$9&lt;=$H26,N$9+6&gt;=$G26),1,""))</x:f>
      </x:c>
      <x:c r="O26" s="79" t="str">
        <x:f t="shared" si="4">IF(OR($H$6="",$G26="",$H26="",$H26&lt;$G26),"",IF(AND(O$9&lt;=$H26,O$9+6&gt;=$G26),1,""))</x:f>
      </x:c>
      <x:c r="P26" s="80" t="str">
        <x:f t="shared" si="4">IF(OR($H$6="",$G26="",$H26="",$H26&lt;$G26),"",IF(AND(P$9&lt;=$H26,P$9+6&gt;=$G26),1,""))</x:f>
      </x:c>
      <x:c r="Q26" s="79" t="str">
        <x:f t="shared" si="4">IF(OR($H$6="",$G26="",$H26="",$H26&lt;$G26),"",IF(AND(Q$9&lt;=$H26,Q$9+6&gt;=$G26),1,""))</x:f>
      </x:c>
      <x:c r="R26" s="80" t="str">
        <x:f t="shared" si="4">IF(OR($H$6="",$G26="",$H26="",$H26&lt;$G26),"",IF(AND(R$9&lt;=$H26,R$9+6&gt;=$G26),1,""))</x:f>
      </x:c>
      <x:c r="S26" s="79" t="str">
        <x:f t="shared" si="4">IF(OR($H$6="",$G26="",$H26="",$H26&lt;$G26),"",IF(AND(S$9&lt;=$H26,S$9+6&gt;=$G26),1,""))</x:f>
      </x:c>
      <x:c r="T26" s="80" t="str">
        <x:f t="shared" si="4">IF(OR($H$6="",$G26="",$H26="",$H26&lt;$G26),"",IF(AND(T$9&lt;=$H26,T$9+6&gt;=$G26),1,""))</x:f>
      </x:c>
      <x:c r="U26" s="79" t="str">
        <x:f t="shared" si="5">IF(OR($H$6="",$G26="",$H26="",$H26&lt;$G26),"",IF(AND(U$9&lt;=$H26,U$9+6&gt;=$G26),1,""))</x:f>
      </x:c>
      <x:c r="V26" s="80" t="str">
        <x:f t="shared" si="5">IF(OR($H$6="",$G26="",$H26="",$H26&lt;$G26),"",IF(AND(V$9&lt;=$H26,V$9+6&gt;=$G26),1,""))</x:f>
      </x:c>
      <x:c r="W26" s="79" t="str">
        <x:f t="shared" si="5">IF(OR($H$6="",$G26="",$H26="",$H26&lt;$G26),"",IF(AND(W$9&lt;=$H26,W$9+6&gt;=$G26),1,""))</x:f>
      </x:c>
      <x:c r="X26" s="80" t="str">
        <x:f t="shared" si="5">IF(OR($H$6="",$G26="",$H26="",$H26&lt;$G26),"",IF(AND(X$9&lt;=$H26,X$9+6&gt;=$G26),1,""))</x:f>
      </x:c>
      <x:c r="Y26" s="79" t="str">
        <x:f t="shared" si="5">IF(OR($H$6="",$G26="",$H26="",$H26&lt;$G26),"",IF(AND(Y$9&lt;=$H26,Y$9+6&gt;=$G26),1,""))</x:f>
      </x:c>
      <x:c r="Z26" s="80" t="str">
        <x:f t="shared" si="5">IF(OR($H$6="",$G26="",$H26="",$H26&lt;$G26),"",IF(AND(Z$9&lt;=$H26,Z$9+6&gt;=$G26),1,""))</x:f>
      </x:c>
      <x:c r="AA26" s="79" t="str">
        <x:f t="shared" si="5">IF(OR($H$6="",$G26="",$H26="",$H26&lt;$G26),"",IF(AND(AA$9&lt;=$H26,AA$9+6&gt;=$G26),1,""))</x:f>
      </x:c>
      <x:c r="AB26" s="80" t="str">
        <x:f t="shared" si="5">IF(OR($H$6="",$G26="",$H26="",$H26&lt;$G26),"",IF(AND(AB$9&lt;=$H26,AB$9+6&gt;=$G26),1,""))</x:f>
      </x:c>
      <x:c r="AC26" s="79" t="str">
        <x:f t="shared" si="5">IF(OR($H$6="",$G26="",$H26="",$H26&lt;$G26),"",IF(AND(AC$9&lt;=$H26,AC$9+6&gt;=$G26),1,""))</x:f>
      </x:c>
      <x:c r="AD26" s="80" t="str">
        <x:f t="shared" si="5">IF(OR($H$6="",$G26="",$H26="",$H26&lt;$G26),"",IF(AND(AD$9&lt;=$H26,AD$9+6&gt;=$G26),1,""))</x:f>
      </x:c>
    </x:row>
    <x:row r="27" ht="36" customHeight="1">
      <x:c r="B27" s="81" t="str">
        <x:v>外呼任务</x:v>
      </x:c>
      <x:c r="C27" s="95" t="str">
        <x:v>FUNC-113 终止任务</x:v>
      </x:c>
      <x:c r="D27" s="83"/>
      <x:c r="E27" s="83" t="str">
        <x:v>待确认</x:v>
      </x:c>
      <x:c r="F27" s="83"/>
      <x:c r="G27" s="97"/>
      <x:c r="H27" s="97"/>
      <x:c r="I27" s="78" t="str">
        <x:f t="shared" si="1">IF(OR(G27="",H27="",H27&lt;G27),"",H27-G27+1)</x:f>
      </x:c>
      <x:c r="J27" s="50"/>
      <x:c r="K27" s="79" t="str">
        <x:f t="shared" si="4">IF(OR($H$6="",$G27="",$H27="",$H27&lt;$G27),"",IF(AND(K$9&lt;=$H27,K$9+6&gt;=$G27),1,""))</x:f>
      </x:c>
      <x:c r="L27" s="80" t="str">
        <x:f t="shared" si="4">IF(OR($H$6="",$G27="",$H27="",$H27&lt;$G27),"",IF(AND(L$9&lt;=$H27,L$9+6&gt;=$G27),1,""))</x:f>
      </x:c>
      <x:c r="M27" s="79" t="str">
        <x:f t="shared" si="4">IF(OR($H$6="",$G27="",$H27="",$H27&lt;$G27),"",IF(AND(M$9&lt;=$H27,M$9+6&gt;=$G27),1,""))</x:f>
      </x:c>
      <x:c r="N27" s="80" t="str">
        <x:f t="shared" si="4">IF(OR($H$6="",$G27="",$H27="",$H27&lt;$G27),"",IF(AND(N$9&lt;=$H27,N$9+6&gt;=$G27),1,""))</x:f>
      </x:c>
      <x:c r="O27" s="79" t="str">
        <x:f t="shared" si="4">IF(OR($H$6="",$G27="",$H27="",$H27&lt;$G27),"",IF(AND(O$9&lt;=$H27,O$9+6&gt;=$G27),1,""))</x:f>
      </x:c>
      <x:c r="P27" s="80" t="str">
        <x:f t="shared" si="4">IF(OR($H$6="",$G27="",$H27="",$H27&lt;$G27),"",IF(AND(P$9&lt;=$H27,P$9+6&gt;=$G27),1,""))</x:f>
      </x:c>
      <x:c r="Q27" s="79" t="str">
        <x:f t="shared" si="4">IF(OR($H$6="",$G27="",$H27="",$H27&lt;$G27),"",IF(AND(Q$9&lt;=$H27,Q$9+6&gt;=$G27),1,""))</x:f>
      </x:c>
      <x:c r="R27" s="80" t="str">
        <x:f t="shared" si="4">IF(OR($H$6="",$G27="",$H27="",$H27&lt;$G27),"",IF(AND(R$9&lt;=$H27,R$9+6&gt;=$G27),1,""))</x:f>
      </x:c>
      <x:c r="S27" s="79" t="str">
        <x:f t="shared" si="4">IF(OR($H$6="",$G27="",$H27="",$H27&lt;$G27),"",IF(AND(S$9&lt;=$H27,S$9+6&gt;=$G27),1,""))</x:f>
      </x:c>
      <x:c r="T27" s="80" t="str">
        <x:f t="shared" si="4">IF(OR($H$6="",$G27="",$H27="",$H27&lt;$G27),"",IF(AND(T$9&lt;=$H27,T$9+6&gt;=$G27),1,""))</x:f>
      </x:c>
      <x:c r="U27" s="79" t="str">
        <x:f t="shared" si="5">IF(OR($H$6="",$G27="",$H27="",$H27&lt;$G27),"",IF(AND(U$9&lt;=$H27,U$9+6&gt;=$G27),1,""))</x:f>
      </x:c>
      <x:c r="V27" s="80" t="str">
        <x:f t="shared" si="5">IF(OR($H$6="",$G27="",$H27="",$H27&lt;$G27),"",IF(AND(V$9&lt;=$H27,V$9+6&gt;=$G27),1,""))</x:f>
      </x:c>
      <x:c r="W27" s="79" t="str">
        <x:f t="shared" si="5">IF(OR($H$6="",$G27="",$H27="",$H27&lt;$G27),"",IF(AND(W$9&lt;=$H27,W$9+6&gt;=$G27),1,""))</x:f>
      </x:c>
      <x:c r="X27" s="80" t="str">
        <x:f t="shared" si="5">IF(OR($H$6="",$G27="",$H27="",$H27&lt;$G27),"",IF(AND(X$9&lt;=$H27,X$9+6&gt;=$G27),1,""))</x:f>
      </x:c>
      <x:c r="Y27" s="79" t="str">
        <x:f t="shared" si="5">IF(OR($H$6="",$G27="",$H27="",$H27&lt;$G27),"",IF(AND(Y$9&lt;=$H27,Y$9+6&gt;=$G27),1,""))</x:f>
      </x:c>
      <x:c r="Z27" s="80" t="str">
        <x:f t="shared" si="5">IF(OR($H$6="",$G27="",$H27="",$H27&lt;$G27),"",IF(AND(Z$9&lt;=$H27,Z$9+6&gt;=$G27),1,""))</x:f>
      </x:c>
      <x:c r="AA27" s="79" t="str">
        <x:f t="shared" si="5">IF(OR($H$6="",$G27="",$H27="",$H27&lt;$G27),"",IF(AND(AA$9&lt;=$H27,AA$9+6&gt;=$G27),1,""))</x:f>
      </x:c>
      <x:c r="AB27" s="80" t="str">
        <x:f t="shared" si="5">IF(OR($H$6="",$G27="",$H27="",$H27&lt;$G27),"",IF(AND(AB$9&lt;=$H27,AB$9+6&gt;=$G27),1,""))</x:f>
      </x:c>
      <x:c r="AC27" s="79" t="str">
        <x:f t="shared" si="5">IF(OR($H$6="",$G27="",$H27="",$H27&lt;$G27),"",IF(AND(AC$9&lt;=$H27,AC$9+6&gt;=$G27),1,""))</x:f>
      </x:c>
      <x:c r="AD27" s="80" t="str">
        <x:f t="shared" si="5">IF(OR($H$6="",$G27="",$H27="",$H27&lt;$G27),"",IF(AND(AD$9&lt;=$H27,AD$9+6&gt;=$G27),1,""))</x:f>
      </x:c>
    </x:row>
    <x:row r="28" ht="36" customHeight="1">
      <x:c r="B28" s="74" t="str">
        <x:v>录音文本</x:v>
      </x:c>
      <x:c r="C28" s="94" t="str">
        <x:v>FUNC-266 播放通话录音</x:v>
      </x:c>
      <x:c r="D28" s="76"/>
      <x:c r="E28" s="76" t="str">
        <x:v>待确认</x:v>
      </x:c>
      <x:c r="F28" s="76"/>
      <x:c r="G28" s="96"/>
      <x:c r="H28" s="96"/>
      <x:c r="I28" s="78" t="str">
        <x:f t="shared" si="1">IF(OR(G28="",H28="",H28&lt;G28),"",H28-G28+1)</x:f>
      </x:c>
      <x:c r="J28" s="50"/>
      <x:c r="K28" s="79" t="str">
        <x:f t="shared" si="4">IF(OR($H$6="",$G28="",$H28="",$H28&lt;$G28),"",IF(AND(K$9&lt;=$H28,K$9+6&gt;=$G28),1,""))</x:f>
      </x:c>
      <x:c r="L28" s="80" t="str">
        <x:f t="shared" si="4">IF(OR($H$6="",$G28="",$H28="",$H28&lt;$G28),"",IF(AND(L$9&lt;=$H28,L$9+6&gt;=$G28),1,""))</x:f>
      </x:c>
      <x:c r="M28" s="79" t="str">
        <x:f t="shared" si="4">IF(OR($H$6="",$G28="",$H28="",$H28&lt;$G28),"",IF(AND(M$9&lt;=$H28,M$9+6&gt;=$G28),1,""))</x:f>
      </x:c>
      <x:c r="N28" s="80" t="str">
        <x:f t="shared" si="4">IF(OR($H$6="",$G28="",$H28="",$H28&lt;$G28),"",IF(AND(N$9&lt;=$H28,N$9+6&gt;=$G28),1,""))</x:f>
      </x:c>
      <x:c r="O28" s="79" t="str">
        <x:f t="shared" si="4">IF(OR($H$6="",$G28="",$H28="",$H28&lt;$G28),"",IF(AND(O$9&lt;=$H28,O$9+6&gt;=$G28),1,""))</x:f>
      </x:c>
      <x:c r="P28" s="80" t="str">
        <x:f t="shared" si="4">IF(OR($H$6="",$G28="",$H28="",$H28&lt;$G28),"",IF(AND(P$9&lt;=$H28,P$9+6&gt;=$G28),1,""))</x:f>
      </x:c>
      <x:c r="Q28" s="79" t="str">
        <x:f t="shared" si="4">IF(OR($H$6="",$G28="",$H28="",$H28&lt;$G28),"",IF(AND(Q$9&lt;=$H28,Q$9+6&gt;=$G28),1,""))</x:f>
      </x:c>
      <x:c r="R28" s="80" t="str">
        <x:f t="shared" si="4">IF(OR($H$6="",$G28="",$H28="",$H28&lt;$G28),"",IF(AND(R$9&lt;=$H28,R$9+6&gt;=$G28),1,""))</x:f>
      </x:c>
      <x:c r="S28" s="79" t="str">
        <x:f t="shared" si="4">IF(OR($H$6="",$G28="",$H28="",$H28&lt;$G28),"",IF(AND(S$9&lt;=$H28,S$9+6&gt;=$G28),1,""))</x:f>
      </x:c>
      <x:c r="T28" s="80" t="str">
        <x:f t="shared" si="4">IF(OR($H$6="",$G28="",$H28="",$H28&lt;$G28),"",IF(AND(T$9&lt;=$H28,T$9+6&gt;=$G28),1,""))</x:f>
      </x:c>
      <x:c r="U28" s="79" t="str">
        <x:f t="shared" si="5">IF(OR($H$6="",$G28="",$H28="",$H28&lt;$G28),"",IF(AND(U$9&lt;=$H28,U$9+6&gt;=$G28),1,""))</x:f>
      </x:c>
      <x:c r="V28" s="80" t="str">
        <x:f t="shared" si="5">IF(OR($H$6="",$G28="",$H28="",$H28&lt;$G28),"",IF(AND(V$9&lt;=$H28,V$9+6&gt;=$G28),1,""))</x:f>
      </x:c>
      <x:c r="W28" s="79" t="str">
        <x:f t="shared" si="5">IF(OR($H$6="",$G28="",$H28="",$H28&lt;$G28),"",IF(AND(W$9&lt;=$H28,W$9+6&gt;=$G28),1,""))</x:f>
      </x:c>
      <x:c r="X28" s="80" t="str">
        <x:f t="shared" si="5">IF(OR($H$6="",$G28="",$H28="",$H28&lt;$G28),"",IF(AND(X$9&lt;=$H28,X$9+6&gt;=$G28),1,""))</x:f>
      </x:c>
      <x:c r="Y28" s="79" t="str">
        <x:f t="shared" si="5">IF(OR($H$6="",$G28="",$H28="",$H28&lt;$G28),"",IF(AND(Y$9&lt;=$H28,Y$9+6&gt;=$G28),1,""))</x:f>
      </x:c>
      <x:c r="Z28" s="80" t="str">
        <x:f t="shared" si="5">IF(OR($H$6="",$G28="",$H28="",$H28&lt;$G28),"",IF(AND(Z$9&lt;=$H28,Z$9+6&gt;=$G28),1,""))</x:f>
      </x:c>
      <x:c r="AA28" s="79" t="str">
        <x:f t="shared" si="5">IF(OR($H$6="",$G28="",$H28="",$H28&lt;$G28),"",IF(AND(AA$9&lt;=$H28,AA$9+6&gt;=$G28),1,""))</x:f>
      </x:c>
      <x:c r="AB28" s="80" t="str">
        <x:f t="shared" si="5">IF(OR($H$6="",$G28="",$H28="",$H28&lt;$G28),"",IF(AND(AB$9&lt;=$H28,AB$9+6&gt;=$G28),1,""))</x:f>
      </x:c>
      <x:c r="AC28" s="79" t="str">
        <x:f t="shared" si="5">IF(OR($H$6="",$G28="",$H28="",$H28&lt;$G28),"",IF(AND(AC$9&lt;=$H28,AC$9+6&gt;=$G28),1,""))</x:f>
      </x:c>
      <x:c r="AD28" s="80" t="str">
        <x:f t="shared" si="5">IF(OR($H$6="",$G28="",$H28="",$H28&lt;$G28),"",IF(AND(AD$9&lt;=$H28,AD$9+6&gt;=$G28),1,""))</x:f>
      </x:c>
    </x:row>
    <x:row r="29">
      <x:c r="B29" s="81"/>
      <x:c r="C29" s="82"/>
      <x:c r="D29" s="83"/>
      <x:c r="E29" s="83"/>
      <x:c r="F29" s="83"/>
      <x:c r="G29" s="97"/>
      <x:c r="H29" s="97"/>
      <x:c r="I29" s="78" t="str">
        <x:f t="shared" si="1">IF(OR(G29="",H29="",H29&lt;G29),"",H29-G29+1)</x:f>
      </x:c>
      <x:c r="J29" s="50"/>
      <x:c r="K29" s="79" t="str">
        <x:f t="shared" si="4">IF(OR($H$6="",$G29="",$H29="",$H29&lt;$G29),"",IF(AND(K$9&lt;=$H29,K$9+6&gt;=$G29),1,""))</x:f>
      </x:c>
      <x:c r="L29" s="80" t="str">
        <x:f t="shared" si="4">IF(OR($H$6="",$G29="",$H29="",$H29&lt;$G29),"",IF(AND(L$9&lt;=$H29,L$9+6&gt;=$G29),1,""))</x:f>
      </x:c>
      <x:c r="M29" s="79" t="str">
        <x:f t="shared" si="4">IF(OR($H$6="",$G29="",$H29="",$H29&lt;$G29),"",IF(AND(M$9&lt;=$H29,M$9+6&gt;=$G29),1,""))</x:f>
      </x:c>
      <x:c r="N29" s="80" t="str">
        <x:f t="shared" si="4">IF(OR($H$6="",$G29="",$H29="",$H29&lt;$G29),"",IF(AND(N$9&lt;=$H29,N$9+6&gt;=$G29),1,""))</x:f>
      </x:c>
      <x:c r="O29" s="79" t="str">
        <x:f t="shared" si="4">IF(OR($H$6="",$G29="",$H29="",$H29&lt;$G29),"",IF(AND(O$9&lt;=$H29,O$9+6&gt;=$G29),1,""))</x:f>
      </x:c>
      <x:c r="P29" s="80" t="str">
        <x:f t="shared" si="4">IF(OR($H$6="",$G29="",$H29="",$H29&lt;$G29),"",IF(AND(P$9&lt;=$H29,P$9+6&gt;=$G29),1,""))</x:f>
      </x:c>
      <x:c r="Q29" s="79" t="str">
        <x:f t="shared" si="4">IF(OR($H$6="",$G29="",$H29="",$H29&lt;$G29),"",IF(AND(Q$9&lt;=$H29,Q$9+6&gt;=$G29),1,""))</x:f>
      </x:c>
      <x:c r="R29" s="80" t="str">
        <x:f t="shared" si="4">IF(OR($H$6="",$G29="",$H29="",$H29&lt;$G29),"",IF(AND(R$9&lt;=$H29,R$9+6&gt;=$G29),1,""))</x:f>
      </x:c>
      <x:c r="S29" s="79" t="str">
        <x:f t="shared" si="4">IF(OR($H$6="",$G29="",$H29="",$H29&lt;$G29),"",IF(AND(S$9&lt;=$H29,S$9+6&gt;=$G29),1,""))</x:f>
      </x:c>
      <x:c r="T29" s="80" t="str">
        <x:f t="shared" si="4">IF(OR($H$6="",$G29="",$H29="",$H29&lt;$G29),"",IF(AND(T$9&lt;=$H29,T$9+6&gt;=$G29),1,""))</x:f>
      </x:c>
      <x:c r="U29" s="79" t="str">
        <x:f t="shared" si="5">IF(OR($H$6="",$G29="",$H29="",$H29&lt;$G29),"",IF(AND(U$9&lt;=$H29,U$9+6&gt;=$G29),1,""))</x:f>
      </x:c>
      <x:c r="V29" s="80" t="str">
        <x:f t="shared" si="5">IF(OR($H$6="",$G29="",$H29="",$H29&lt;$G29),"",IF(AND(V$9&lt;=$H29,V$9+6&gt;=$G29),1,""))</x:f>
      </x:c>
      <x:c r="W29" s="79" t="str">
        <x:f t="shared" si="5">IF(OR($H$6="",$G29="",$H29="",$H29&lt;$G29),"",IF(AND(W$9&lt;=$H29,W$9+6&gt;=$G29),1,""))</x:f>
      </x:c>
      <x:c r="X29" s="80" t="str">
        <x:f t="shared" si="5">IF(OR($H$6="",$G29="",$H29="",$H29&lt;$G29),"",IF(AND(X$9&lt;=$H29,X$9+6&gt;=$G29),1,""))</x:f>
      </x:c>
      <x:c r="Y29" s="79" t="str">
        <x:f t="shared" si="5">IF(OR($H$6="",$G29="",$H29="",$H29&lt;$G29),"",IF(AND(Y$9&lt;=$H29,Y$9+6&gt;=$G29),1,""))</x:f>
      </x:c>
      <x:c r="Z29" s="80" t="str">
        <x:f t="shared" si="5">IF(OR($H$6="",$G29="",$H29="",$H29&lt;$G29),"",IF(AND(Z$9&lt;=$H29,Z$9+6&gt;=$G29),1,""))</x:f>
      </x:c>
      <x:c r="AA29" s="79" t="str">
        <x:f t="shared" si="5">IF(OR($H$6="",$G29="",$H29="",$H29&lt;$G29),"",IF(AND(AA$9&lt;=$H29,AA$9+6&gt;=$G29),1,""))</x:f>
      </x:c>
      <x:c r="AB29" s="80" t="str">
        <x:f t="shared" si="5">IF(OR($H$6="",$G29="",$H29="",$H29&lt;$G29),"",IF(AND(AB$9&lt;=$H29,AB$9+6&gt;=$G29),1,""))</x:f>
      </x:c>
      <x:c r="AC29" s="79" t="str">
        <x:f t="shared" si="5">IF(OR($H$6="",$G29="",$H29="",$H29&lt;$G29),"",IF(AND(AC$9&lt;=$H29,AC$9+6&gt;=$G29),1,""))</x:f>
      </x:c>
      <x:c r="AD29" s="80" t="str">
        <x:f t="shared" si="5">IF(OR($H$6="",$G29="",$H29="",$H29&lt;$G29),"",IF(AND(AD$9&lt;=$H29,AD$9+6&gt;=$G29),1,""))</x:f>
      </x:c>
    </x:row>
    <x:row r="30">
      <x:c r="B30" s="74"/>
      <x:c r="C30" s="75"/>
      <x:c r="D30" s="76"/>
      <x:c r="E30" s="76"/>
      <x:c r="F30" s="76"/>
      <x:c r="G30" s="96"/>
      <x:c r="H30" s="96"/>
      <x:c r="I30" s="78" t="str">
        <x:f t="shared" si="1">IF(OR(G30="",H30="",H30&lt;G30),"",H30-G30+1)</x:f>
      </x:c>
      <x:c r="J30" s="50"/>
      <x:c r="K30" s="79" t="str">
        <x:f t="shared" ref="K30:T39" si="6">IF(OR($H$6="",$G30="",$H30="",$H30&lt;$G30),"",IF(AND(K$9&lt;=$H30,K$9+6&gt;=$G30),1,""))</x:f>
      </x:c>
      <x:c r="L30" s="80" t="str">
        <x:f t="shared" si="6">IF(OR($H$6="",$G30="",$H30="",$H30&lt;$G30),"",IF(AND(L$9&lt;=$H30,L$9+6&gt;=$G30),1,""))</x:f>
      </x:c>
      <x:c r="M30" s="79" t="str">
        <x:f t="shared" si="6">IF(OR($H$6="",$G30="",$H30="",$H30&lt;$G30),"",IF(AND(M$9&lt;=$H30,M$9+6&gt;=$G30),1,""))</x:f>
      </x:c>
      <x:c r="N30" s="80" t="str">
        <x:f t="shared" si="6">IF(OR($H$6="",$G30="",$H30="",$H30&lt;$G30),"",IF(AND(N$9&lt;=$H30,N$9+6&gt;=$G30),1,""))</x:f>
      </x:c>
      <x:c r="O30" s="79" t="str">
        <x:f t="shared" si="6">IF(OR($H$6="",$G30="",$H30="",$H30&lt;$G30),"",IF(AND(O$9&lt;=$H30,O$9+6&gt;=$G30),1,""))</x:f>
      </x:c>
      <x:c r="P30" s="80" t="str">
        <x:f t="shared" si="6">IF(OR($H$6="",$G30="",$H30="",$H30&lt;$G30),"",IF(AND(P$9&lt;=$H30,P$9+6&gt;=$G30),1,""))</x:f>
      </x:c>
      <x:c r="Q30" s="79" t="str">
        <x:f t="shared" si="6">IF(OR($H$6="",$G30="",$H30="",$H30&lt;$G30),"",IF(AND(Q$9&lt;=$H30,Q$9+6&gt;=$G30),1,""))</x:f>
      </x:c>
      <x:c r="R30" s="80" t="str">
        <x:f t="shared" si="6">IF(OR($H$6="",$G30="",$H30="",$H30&lt;$G30),"",IF(AND(R$9&lt;=$H30,R$9+6&gt;=$G30),1,""))</x:f>
      </x:c>
      <x:c r="S30" s="79" t="str">
        <x:f t="shared" si="6">IF(OR($H$6="",$G30="",$H30="",$H30&lt;$G30),"",IF(AND(S$9&lt;=$H30,S$9+6&gt;=$G30),1,""))</x:f>
      </x:c>
      <x:c r="T30" s="80" t="str">
        <x:f t="shared" si="6">IF(OR($H$6="",$G30="",$H30="",$H30&lt;$G30),"",IF(AND(T$9&lt;=$H30,T$9+6&gt;=$G30),1,""))</x:f>
      </x:c>
      <x:c r="U30" s="79" t="str">
        <x:f t="shared" ref="U30:AD39" si="7">IF(OR($H$6="",$G30="",$H30="",$H30&lt;$G30),"",IF(AND(U$9&lt;=$H30,U$9+6&gt;=$G30),1,""))</x:f>
      </x:c>
      <x:c r="V30" s="80" t="str">
        <x:f t="shared" si="7">IF(OR($H$6="",$G30="",$H30="",$H30&lt;$G30),"",IF(AND(V$9&lt;=$H30,V$9+6&gt;=$G30),1,""))</x:f>
      </x:c>
      <x:c r="W30" s="79" t="str">
        <x:f t="shared" si="7">IF(OR($H$6="",$G30="",$H30="",$H30&lt;$G30),"",IF(AND(W$9&lt;=$H30,W$9+6&gt;=$G30),1,""))</x:f>
      </x:c>
      <x:c r="X30" s="80" t="str">
        <x:f t="shared" si="7">IF(OR($H$6="",$G30="",$H30="",$H30&lt;$G30),"",IF(AND(X$9&lt;=$H30,X$9+6&gt;=$G30),1,""))</x:f>
      </x:c>
      <x:c r="Y30" s="79" t="str">
        <x:f t="shared" si="7">IF(OR($H$6="",$G30="",$H30="",$H30&lt;$G30),"",IF(AND(Y$9&lt;=$H30,Y$9+6&gt;=$G30),1,""))</x:f>
      </x:c>
      <x:c r="Z30" s="80" t="str">
        <x:f t="shared" si="7">IF(OR($H$6="",$G30="",$H30="",$H30&lt;$G30),"",IF(AND(Z$9&lt;=$H30,Z$9+6&gt;=$G30),1,""))</x:f>
      </x:c>
      <x:c r="AA30" s="79" t="str">
        <x:f t="shared" si="7">IF(OR($H$6="",$G30="",$H30="",$H30&lt;$G30),"",IF(AND(AA$9&lt;=$H30,AA$9+6&gt;=$G30),1,""))</x:f>
      </x:c>
      <x:c r="AB30" s="80" t="str">
        <x:f t="shared" si="7">IF(OR($H$6="",$G30="",$H30="",$H30&lt;$G30),"",IF(AND(AB$9&lt;=$H30,AB$9+6&gt;=$G30),1,""))</x:f>
      </x:c>
      <x:c r="AC30" s="79" t="str">
        <x:f t="shared" si="7">IF(OR($H$6="",$G30="",$H30="",$H30&lt;$G30),"",IF(AND(AC$9&lt;=$H30,AC$9+6&gt;=$G30),1,""))</x:f>
      </x:c>
      <x:c r="AD30" s="80" t="str">
        <x:f t="shared" si="7">IF(OR($H$6="",$G30="",$H30="",$H30&lt;$G30),"",IF(AND(AD$9&lt;=$H30,AD$9+6&gt;=$G30),1,""))</x:f>
      </x:c>
    </x:row>
    <x:row r="31">
      <x:c r="B31" s="81"/>
      <x:c r="C31" s="82"/>
      <x:c r="D31" s="83"/>
      <x:c r="E31" s="83"/>
      <x:c r="F31" s="83"/>
      <x:c r="G31" s="98"/>
      <x:c r="H31" s="98"/>
      <x:c r="I31" s="78" t="str">
        <x:f t="shared" si="1">IF(OR(G31="",H31="",H31&lt;G31),"",H31-G31+1)</x:f>
      </x:c>
      <x:c r="J31" s="50"/>
      <x:c r="K31" s="79" t="str">
        <x:f t="shared" si="6">IF(OR($H$6="",$G31="",$H31="",$H31&lt;$G31),"",IF(AND(K$9&lt;=$H31,K$9+6&gt;=$G31),1,""))</x:f>
      </x:c>
      <x:c r="L31" s="80" t="str">
        <x:f t="shared" si="6">IF(OR($H$6="",$G31="",$H31="",$H31&lt;$G31),"",IF(AND(L$9&lt;=$H31,L$9+6&gt;=$G31),1,""))</x:f>
      </x:c>
      <x:c r="M31" s="79" t="str">
        <x:f t="shared" si="6">IF(OR($H$6="",$G31="",$H31="",$H31&lt;$G31),"",IF(AND(M$9&lt;=$H31,M$9+6&gt;=$G31),1,""))</x:f>
      </x:c>
      <x:c r="N31" s="80" t="str">
        <x:f t="shared" si="6">IF(OR($H$6="",$G31="",$H31="",$H31&lt;$G31),"",IF(AND(N$9&lt;=$H31,N$9+6&gt;=$G31),1,""))</x:f>
      </x:c>
      <x:c r="O31" s="79" t="str">
        <x:f t="shared" si="6">IF(OR($H$6="",$G31="",$H31="",$H31&lt;$G31),"",IF(AND(O$9&lt;=$H31,O$9+6&gt;=$G31),1,""))</x:f>
      </x:c>
      <x:c r="P31" s="80" t="str">
        <x:f t="shared" si="6">IF(OR($H$6="",$G31="",$H31="",$H31&lt;$G31),"",IF(AND(P$9&lt;=$H31,P$9+6&gt;=$G31),1,""))</x:f>
      </x:c>
      <x:c r="Q31" s="79" t="str">
        <x:f t="shared" si="6">IF(OR($H$6="",$G31="",$H31="",$H31&lt;$G31),"",IF(AND(Q$9&lt;=$H31,Q$9+6&gt;=$G31),1,""))</x:f>
      </x:c>
      <x:c r="R31" s="80" t="str">
        <x:f t="shared" si="6">IF(OR($H$6="",$G31="",$H31="",$H31&lt;$G31),"",IF(AND(R$9&lt;=$H31,R$9+6&gt;=$G31),1,""))</x:f>
      </x:c>
      <x:c r="S31" s="79" t="str">
        <x:f t="shared" si="6">IF(OR($H$6="",$G31="",$H31="",$H31&lt;$G31),"",IF(AND(S$9&lt;=$H31,S$9+6&gt;=$G31),1,""))</x:f>
      </x:c>
      <x:c r="T31" s="80" t="str">
        <x:f t="shared" si="6">IF(OR($H$6="",$G31="",$H31="",$H31&lt;$G31),"",IF(AND(T$9&lt;=$H31,T$9+6&gt;=$G31),1,""))</x:f>
      </x:c>
      <x:c r="U31" s="79" t="str">
        <x:f t="shared" si="7">IF(OR($H$6="",$G31="",$H31="",$H31&lt;$G31),"",IF(AND(U$9&lt;=$H31,U$9+6&gt;=$G31),1,""))</x:f>
      </x:c>
      <x:c r="V31" s="80" t="str">
        <x:f t="shared" si="7">IF(OR($H$6="",$G31="",$H31="",$H31&lt;$G31),"",IF(AND(V$9&lt;=$H31,V$9+6&gt;=$G31),1,""))</x:f>
      </x:c>
      <x:c r="W31" s="79" t="str">
        <x:f t="shared" si="7">IF(OR($H$6="",$G31="",$H31="",$H31&lt;$G31),"",IF(AND(W$9&lt;=$H31,W$9+6&gt;=$G31),1,""))</x:f>
      </x:c>
      <x:c r="X31" s="80" t="str">
        <x:f t="shared" si="7">IF(OR($H$6="",$G31="",$H31="",$H31&lt;$G31),"",IF(AND(X$9&lt;=$H31,X$9+6&gt;=$G31),1,""))</x:f>
      </x:c>
      <x:c r="Y31" s="79" t="str">
        <x:f t="shared" si="7">IF(OR($H$6="",$G31="",$H31="",$H31&lt;$G31),"",IF(AND(Y$9&lt;=$H31,Y$9+6&gt;=$G31),1,""))</x:f>
      </x:c>
      <x:c r="Z31" s="80" t="str">
        <x:f t="shared" si="7">IF(OR($H$6="",$G31="",$H31="",$H31&lt;$G31),"",IF(AND(Z$9&lt;=$H31,Z$9+6&gt;=$G31),1,""))</x:f>
      </x:c>
      <x:c r="AA31" s="79" t="str">
        <x:f t="shared" si="7">IF(OR($H$6="",$G31="",$H31="",$H31&lt;$G31),"",IF(AND(AA$9&lt;=$H31,AA$9+6&gt;=$G31),1,""))</x:f>
      </x:c>
      <x:c r="AB31" s="80" t="str">
        <x:f t="shared" si="7">IF(OR($H$6="",$G31="",$H31="",$H31&lt;$G31),"",IF(AND(AB$9&lt;=$H31,AB$9+6&gt;=$G31),1,""))</x:f>
      </x:c>
      <x:c r="AC31" s="79" t="str">
        <x:f t="shared" si="7">IF(OR($H$6="",$G31="",$H31="",$H31&lt;$G31),"",IF(AND(AC$9&lt;=$H31,AC$9+6&gt;=$G31),1,""))</x:f>
      </x:c>
      <x:c r="AD31" s="80" t="str">
        <x:f t="shared" si="7">IF(OR($H$6="",$G31="",$H31="",$H31&lt;$G31),"",IF(AND(AD$9&lt;=$H31,AD$9+6&gt;=$G31),1,""))</x:f>
      </x:c>
    </x:row>
    <x:row r="32">
      <x:c r="B32" s="74"/>
      <x:c r="C32" s="75"/>
      <x:c r="D32" s="76"/>
      <x:c r="E32" s="76"/>
      <x:c r="F32" s="76"/>
      <x:c r="G32" s="99"/>
      <x:c r="H32" s="99"/>
      <x:c r="I32" s="78" t="str">
        <x:f t="shared" si="1">IF(OR(G32="",H32="",H32&lt;G32),"",H32-G32+1)</x:f>
      </x:c>
      <x:c r="J32" s="50"/>
      <x:c r="K32" s="79" t="str">
        <x:f t="shared" si="6">IF(OR($H$6="",$G32="",$H32="",$H32&lt;$G32),"",IF(AND(K$9&lt;=$H32,K$9+6&gt;=$G32),1,""))</x:f>
      </x:c>
      <x:c r="L32" s="80" t="str">
        <x:f t="shared" si="6">IF(OR($H$6="",$G32="",$H32="",$H32&lt;$G32),"",IF(AND(L$9&lt;=$H32,L$9+6&gt;=$G32),1,""))</x:f>
      </x:c>
      <x:c r="M32" s="79" t="str">
        <x:f t="shared" si="6">IF(OR($H$6="",$G32="",$H32="",$H32&lt;$G32),"",IF(AND(M$9&lt;=$H32,M$9+6&gt;=$G32),1,""))</x:f>
      </x:c>
      <x:c r="N32" s="80" t="str">
        <x:f t="shared" si="6">IF(OR($H$6="",$G32="",$H32="",$H32&lt;$G32),"",IF(AND(N$9&lt;=$H32,N$9+6&gt;=$G32),1,""))</x:f>
      </x:c>
      <x:c r="O32" s="79" t="str">
        <x:f t="shared" si="6">IF(OR($H$6="",$G32="",$H32="",$H32&lt;$G32),"",IF(AND(O$9&lt;=$H32,O$9+6&gt;=$G32),1,""))</x:f>
      </x:c>
      <x:c r="P32" s="80" t="str">
        <x:f t="shared" si="6">IF(OR($H$6="",$G32="",$H32="",$H32&lt;$G32),"",IF(AND(P$9&lt;=$H32,P$9+6&gt;=$G32),1,""))</x:f>
      </x:c>
      <x:c r="Q32" s="79" t="str">
        <x:f t="shared" si="6">IF(OR($H$6="",$G32="",$H32="",$H32&lt;$G32),"",IF(AND(Q$9&lt;=$H32,Q$9+6&gt;=$G32),1,""))</x:f>
      </x:c>
      <x:c r="R32" s="80" t="str">
        <x:f t="shared" si="6">IF(OR($H$6="",$G32="",$H32="",$H32&lt;$G32),"",IF(AND(R$9&lt;=$H32,R$9+6&gt;=$G32),1,""))</x:f>
      </x:c>
      <x:c r="S32" s="79" t="str">
        <x:f t="shared" si="6">IF(OR($H$6="",$G32="",$H32="",$H32&lt;$G32),"",IF(AND(S$9&lt;=$H32,S$9+6&gt;=$G32),1,""))</x:f>
      </x:c>
      <x:c r="T32" s="80" t="str">
        <x:f t="shared" si="6">IF(OR($H$6="",$G32="",$H32="",$H32&lt;$G32),"",IF(AND(T$9&lt;=$H32,T$9+6&gt;=$G32),1,""))</x:f>
      </x:c>
      <x:c r="U32" s="79" t="str">
        <x:f t="shared" si="7">IF(OR($H$6="",$G32="",$H32="",$H32&lt;$G32),"",IF(AND(U$9&lt;=$H32,U$9+6&gt;=$G32),1,""))</x:f>
      </x:c>
      <x:c r="V32" s="80" t="str">
        <x:f t="shared" si="7">IF(OR($H$6="",$G32="",$H32="",$H32&lt;$G32),"",IF(AND(V$9&lt;=$H32,V$9+6&gt;=$G32),1,""))</x:f>
      </x:c>
      <x:c r="W32" s="79" t="str">
        <x:f t="shared" si="7">IF(OR($H$6="",$G32="",$H32="",$H32&lt;$G32),"",IF(AND(W$9&lt;=$H32,W$9+6&gt;=$G32),1,""))</x:f>
      </x:c>
      <x:c r="X32" s="80" t="str">
        <x:f t="shared" si="7">IF(OR($H$6="",$G32="",$H32="",$H32&lt;$G32),"",IF(AND(X$9&lt;=$H32,X$9+6&gt;=$G32),1,""))</x:f>
      </x:c>
      <x:c r="Y32" s="79" t="str">
        <x:f t="shared" si="7">IF(OR($H$6="",$G32="",$H32="",$H32&lt;$G32),"",IF(AND(Y$9&lt;=$H32,Y$9+6&gt;=$G32),1,""))</x:f>
      </x:c>
      <x:c r="Z32" s="80" t="str">
        <x:f t="shared" si="7">IF(OR($H$6="",$G32="",$H32="",$H32&lt;$G32),"",IF(AND(Z$9&lt;=$H32,Z$9+6&gt;=$G32),1,""))</x:f>
      </x:c>
      <x:c r="AA32" s="79" t="str">
        <x:f t="shared" si="7">IF(OR($H$6="",$G32="",$H32="",$H32&lt;$G32),"",IF(AND(AA$9&lt;=$H32,AA$9+6&gt;=$G32),1,""))</x:f>
      </x:c>
      <x:c r="AB32" s="80" t="str">
        <x:f t="shared" si="7">IF(OR($H$6="",$G32="",$H32="",$H32&lt;$G32),"",IF(AND(AB$9&lt;=$H32,AB$9+6&gt;=$G32),1,""))</x:f>
      </x:c>
      <x:c r="AC32" s="79" t="str">
        <x:f t="shared" si="7">IF(OR($H$6="",$G32="",$H32="",$H32&lt;$G32),"",IF(AND(AC$9&lt;=$H32,AC$9+6&gt;=$G32),1,""))</x:f>
      </x:c>
      <x:c r="AD32" s="80" t="str">
        <x:f t="shared" si="7">IF(OR($H$6="",$G32="",$H32="",$H32&lt;$G32),"",IF(AND(AD$9&lt;=$H32,AD$9+6&gt;=$G32),1,""))</x:f>
      </x:c>
    </x:row>
    <x:row r="33">
      <x:c r="B33" s="81"/>
      <x:c r="C33" s="82"/>
      <x:c r="D33" s="83"/>
      <x:c r="E33" s="83"/>
      <x:c r="F33" s="83"/>
      <x:c r="G33" s="98"/>
      <x:c r="H33" s="98"/>
      <x:c r="I33" s="78" t="str">
        <x:f t="shared" si="1">IF(OR(G33="",H33="",H33&lt;G33),"",H33-G33+1)</x:f>
      </x:c>
      <x:c r="J33" s="50"/>
      <x:c r="K33" s="79" t="str">
        <x:f t="shared" si="6">IF(OR($H$6="",$G33="",$H33="",$H33&lt;$G33),"",IF(AND(K$9&lt;=$H33,K$9+6&gt;=$G33),1,""))</x:f>
      </x:c>
      <x:c r="L33" s="80" t="str">
        <x:f t="shared" si="6">IF(OR($H$6="",$G33="",$H33="",$H33&lt;$G33),"",IF(AND(L$9&lt;=$H33,L$9+6&gt;=$G33),1,""))</x:f>
      </x:c>
      <x:c r="M33" s="79" t="str">
        <x:f t="shared" si="6">IF(OR($H$6="",$G33="",$H33="",$H33&lt;$G33),"",IF(AND(M$9&lt;=$H33,M$9+6&gt;=$G33),1,""))</x:f>
      </x:c>
      <x:c r="N33" s="80" t="str">
        <x:f t="shared" si="6">IF(OR($H$6="",$G33="",$H33="",$H33&lt;$G33),"",IF(AND(N$9&lt;=$H33,N$9+6&gt;=$G33),1,""))</x:f>
      </x:c>
      <x:c r="O33" s="79" t="str">
        <x:f t="shared" si="6">IF(OR($H$6="",$G33="",$H33="",$H33&lt;$G33),"",IF(AND(O$9&lt;=$H33,O$9+6&gt;=$G33),1,""))</x:f>
      </x:c>
      <x:c r="P33" s="80" t="str">
        <x:f t="shared" si="6">IF(OR($H$6="",$G33="",$H33="",$H33&lt;$G33),"",IF(AND(P$9&lt;=$H33,P$9+6&gt;=$G33),1,""))</x:f>
      </x:c>
      <x:c r="Q33" s="79" t="str">
        <x:f t="shared" si="6">IF(OR($H$6="",$G33="",$H33="",$H33&lt;$G33),"",IF(AND(Q$9&lt;=$H33,Q$9+6&gt;=$G33),1,""))</x:f>
      </x:c>
      <x:c r="R33" s="80" t="str">
        <x:f t="shared" si="6">IF(OR($H$6="",$G33="",$H33="",$H33&lt;$G33),"",IF(AND(R$9&lt;=$H33,R$9+6&gt;=$G33),1,""))</x:f>
      </x:c>
      <x:c r="S33" s="79" t="str">
        <x:f t="shared" si="6">IF(OR($H$6="",$G33="",$H33="",$H33&lt;$G33),"",IF(AND(S$9&lt;=$H33,S$9+6&gt;=$G33),1,""))</x:f>
      </x:c>
      <x:c r="T33" s="80" t="str">
        <x:f t="shared" si="6">IF(OR($H$6="",$G33="",$H33="",$H33&lt;$G33),"",IF(AND(T$9&lt;=$H33,T$9+6&gt;=$G33),1,""))</x:f>
      </x:c>
      <x:c r="U33" s="79" t="str">
        <x:f t="shared" si="7">IF(OR($H$6="",$G33="",$H33="",$H33&lt;$G33),"",IF(AND(U$9&lt;=$H33,U$9+6&gt;=$G33),1,""))</x:f>
      </x:c>
      <x:c r="V33" s="80" t="str">
        <x:f t="shared" si="7">IF(OR($H$6="",$G33="",$H33="",$H33&lt;$G33),"",IF(AND(V$9&lt;=$H33,V$9+6&gt;=$G33),1,""))</x:f>
      </x:c>
      <x:c r="W33" s="79" t="str">
        <x:f t="shared" si="7">IF(OR($H$6="",$G33="",$H33="",$H33&lt;$G33),"",IF(AND(W$9&lt;=$H33,W$9+6&gt;=$G33),1,""))</x:f>
      </x:c>
      <x:c r="X33" s="80" t="str">
        <x:f t="shared" si="7">IF(OR($H$6="",$G33="",$H33="",$H33&lt;$G33),"",IF(AND(X$9&lt;=$H33,X$9+6&gt;=$G33),1,""))</x:f>
      </x:c>
      <x:c r="Y33" s="79" t="str">
        <x:f t="shared" si="7">IF(OR($H$6="",$G33="",$H33="",$H33&lt;$G33),"",IF(AND(Y$9&lt;=$H33,Y$9+6&gt;=$G33),1,""))</x:f>
      </x:c>
      <x:c r="Z33" s="80" t="str">
        <x:f t="shared" si="7">IF(OR($H$6="",$G33="",$H33="",$H33&lt;$G33),"",IF(AND(Z$9&lt;=$H33,Z$9+6&gt;=$G33),1,""))</x:f>
      </x:c>
      <x:c r="AA33" s="79" t="str">
        <x:f t="shared" si="7">IF(OR($H$6="",$G33="",$H33="",$H33&lt;$G33),"",IF(AND(AA$9&lt;=$H33,AA$9+6&gt;=$G33),1,""))</x:f>
      </x:c>
      <x:c r="AB33" s="80" t="str">
        <x:f t="shared" si="7">IF(OR($H$6="",$G33="",$H33="",$H33&lt;$G33),"",IF(AND(AB$9&lt;=$H33,AB$9+6&gt;=$G33),1,""))</x:f>
      </x:c>
      <x:c r="AC33" s="79" t="str">
        <x:f t="shared" si="7">IF(OR($H$6="",$G33="",$H33="",$H33&lt;$G33),"",IF(AND(AC$9&lt;=$H33,AC$9+6&gt;=$G33),1,""))</x:f>
      </x:c>
      <x:c r="AD33" s="80" t="str">
        <x:f t="shared" si="7">IF(OR($H$6="",$G33="",$H33="",$H33&lt;$G33),"",IF(AND(AD$9&lt;=$H33,AD$9+6&gt;=$G33),1,""))</x:f>
      </x:c>
    </x:row>
    <x:row r="34">
      <x:c r="B34" s="74"/>
      <x:c r="C34" s="75"/>
      <x:c r="D34" s="76"/>
      <x:c r="E34" s="76"/>
      <x:c r="F34" s="76"/>
      <x:c r="G34" s="99"/>
      <x:c r="H34" s="99"/>
      <x:c r="I34" s="78" t="str">
        <x:f t="shared" si="1">IF(OR(G34="",H34="",H34&lt;G34),"",H34-G34+1)</x:f>
      </x:c>
      <x:c r="J34" s="50"/>
      <x:c r="K34" s="79" t="str">
        <x:f t="shared" si="6">IF(OR($H$6="",$G34="",$H34="",$H34&lt;$G34),"",IF(AND(K$9&lt;=$H34,K$9+6&gt;=$G34),1,""))</x:f>
      </x:c>
      <x:c r="L34" s="80" t="str">
        <x:f t="shared" si="6">IF(OR($H$6="",$G34="",$H34="",$H34&lt;$G34),"",IF(AND(L$9&lt;=$H34,L$9+6&gt;=$G34),1,""))</x:f>
      </x:c>
      <x:c r="M34" s="79" t="str">
        <x:f t="shared" si="6">IF(OR($H$6="",$G34="",$H34="",$H34&lt;$G34),"",IF(AND(M$9&lt;=$H34,M$9+6&gt;=$G34),1,""))</x:f>
      </x:c>
      <x:c r="N34" s="80" t="str">
        <x:f t="shared" si="6">IF(OR($H$6="",$G34="",$H34="",$H34&lt;$G34),"",IF(AND(N$9&lt;=$H34,N$9+6&gt;=$G34),1,""))</x:f>
      </x:c>
      <x:c r="O34" s="79" t="str">
        <x:f t="shared" si="6">IF(OR($H$6="",$G34="",$H34="",$H34&lt;$G34),"",IF(AND(O$9&lt;=$H34,O$9+6&gt;=$G34),1,""))</x:f>
      </x:c>
      <x:c r="P34" s="80" t="str">
        <x:f t="shared" si="6">IF(OR($H$6="",$G34="",$H34="",$H34&lt;$G34),"",IF(AND(P$9&lt;=$H34,P$9+6&gt;=$G34),1,""))</x:f>
      </x:c>
      <x:c r="Q34" s="79" t="str">
        <x:f t="shared" si="6">IF(OR($H$6="",$G34="",$H34="",$H34&lt;$G34),"",IF(AND(Q$9&lt;=$H34,Q$9+6&gt;=$G34),1,""))</x:f>
      </x:c>
      <x:c r="R34" s="80" t="str">
        <x:f t="shared" si="6">IF(OR($H$6="",$G34="",$H34="",$H34&lt;$G34),"",IF(AND(R$9&lt;=$H34,R$9+6&gt;=$G34),1,""))</x:f>
      </x:c>
      <x:c r="S34" s="79" t="str">
        <x:f t="shared" si="6">IF(OR($H$6="",$G34="",$H34="",$H34&lt;$G34),"",IF(AND(S$9&lt;=$H34,S$9+6&gt;=$G34),1,""))</x:f>
      </x:c>
      <x:c r="T34" s="80" t="str">
        <x:f t="shared" si="6">IF(OR($H$6="",$G34="",$H34="",$H34&lt;$G34),"",IF(AND(T$9&lt;=$H34,T$9+6&gt;=$G34),1,""))</x:f>
      </x:c>
      <x:c r="U34" s="79" t="str">
        <x:f t="shared" si="7">IF(OR($H$6="",$G34="",$H34="",$H34&lt;$G34),"",IF(AND(U$9&lt;=$H34,U$9+6&gt;=$G34),1,""))</x:f>
      </x:c>
      <x:c r="V34" s="80" t="str">
        <x:f t="shared" si="7">IF(OR($H$6="",$G34="",$H34="",$H34&lt;$G34),"",IF(AND(V$9&lt;=$H34,V$9+6&gt;=$G34),1,""))</x:f>
      </x:c>
      <x:c r="W34" s="79" t="str">
        <x:f t="shared" si="7">IF(OR($H$6="",$G34="",$H34="",$H34&lt;$G34),"",IF(AND(W$9&lt;=$H34,W$9+6&gt;=$G34),1,""))</x:f>
      </x:c>
      <x:c r="X34" s="80" t="str">
        <x:f t="shared" si="7">IF(OR($H$6="",$G34="",$H34="",$H34&lt;$G34),"",IF(AND(X$9&lt;=$H34,X$9+6&gt;=$G34),1,""))</x:f>
      </x:c>
      <x:c r="Y34" s="79" t="str">
        <x:f t="shared" si="7">IF(OR($H$6="",$G34="",$H34="",$H34&lt;$G34),"",IF(AND(Y$9&lt;=$H34,Y$9+6&gt;=$G34),1,""))</x:f>
      </x:c>
      <x:c r="Z34" s="80" t="str">
        <x:f t="shared" si="7">IF(OR($H$6="",$G34="",$H34="",$H34&lt;$G34),"",IF(AND(Z$9&lt;=$H34,Z$9+6&gt;=$G34),1,""))</x:f>
      </x:c>
      <x:c r="AA34" s="79" t="str">
        <x:f t="shared" si="7">IF(OR($H$6="",$G34="",$H34="",$H34&lt;$G34),"",IF(AND(AA$9&lt;=$H34,AA$9+6&gt;=$G34),1,""))</x:f>
      </x:c>
      <x:c r="AB34" s="80" t="str">
        <x:f t="shared" si="7">IF(OR($H$6="",$G34="",$H34="",$H34&lt;$G34),"",IF(AND(AB$9&lt;=$H34,AB$9+6&gt;=$G34),1,""))</x:f>
      </x:c>
      <x:c r="AC34" s="79" t="str">
        <x:f t="shared" si="7">IF(OR($H$6="",$G34="",$H34="",$H34&lt;$G34),"",IF(AND(AC$9&lt;=$H34,AC$9+6&gt;=$G34),1,""))</x:f>
      </x:c>
      <x:c r="AD34" s="80" t="str">
        <x:f t="shared" si="7">IF(OR($H$6="",$G34="",$H34="",$H34&lt;$G34),"",IF(AND(AD$9&lt;=$H34,AD$9+6&gt;=$G34),1,""))</x:f>
      </x:c>
    </x:row>
    <x:row r="35">
      <x:c r="B35" s="81"/>
      <x:c r="C35" s="82"/>
      <x:c r="D35" s="83"/>
      <x:c r="E35" s="83"/>
      <x:c r="F35" s="83"/>
      <x:c r="G35" s="98"/>
      <x:c r="H35" s="98"/>
      <x:c r="I35" s="78" t="str">
        <x:f t="shared" si="1">IF(OR(G35="",H35="",H35&lt;G35),"",H35-G35+1)</x:f>
      </x:c>
      <x:c r="J35" s="50"/>
      <x:c r="K35" s="79" t="str">
        <x:f t="shared" si="6">IF(OR($H$6="",$G35="",$H35="",$H35&lt;$G35),"",IF(AND(K$9&lt;=$H35,K$9+6&gt;=$G35),1,""))</x:f>
      </x:c>
      <x:c r="L35" s="80" t="str">
        <x:f t="shared" si="6">IF(OR($H$6="",$G35="",$H35="",$H35&lt;$G35),"",IF(AND(L$9&lt;=$H35,L$9+6&gt;=$G35),1,""))</x:f>
      </x:c>
      <x:c r="M35" s="79" t="str">
        <x:f t="shared" si="6">IF(OR($H$6="",$G35="",$H35="",$H35&lt;$G35),"",IF(AND(M$9&lt;=$H35,M$9+6&gt;=$G35),1,""))</x:f>
      </x:c>
      <x:c r="N35" s="80" t="str">
        <x:f t="shared" si="6">IF(OR($H$6="",$G35="",$H35="",$H35&lt;$G35),"",IF(AND(N$9&lt;=$H35,N$9+6&gt;=$G35),1,""))</x:f>
      </x:c>
      <x:c r="O35" s="79" t="str">
        <x:f t="shared" si="6">IF(OR($H$6="",$G35="",$H35="",$H35&lt;$G35),"",IF(AND(O$9&lt;=$H35,O$9+6&gt;=$G35),1,""))</x:f>
      </x:c>
      <x:c r="P35" s="80" t="str">
        <x:f t="shared" si="6">IF(OR($H$6="",$G35="",$H35="",$H35&lt;$G35),"",IF(AND(P$9&lt;=$H35,P$9+6&gt;=$G35),1,""))</x:f>
      </x:c>
      <x:c r="Q35" s="79" t="str">
        <x:f t="shared" si="6">IF(OR($H$6="",$G35="",$H35="",$H35&lt;$G35),"",IF(AND(Q$9&lt;=$H35,Q$9+6&gt;=$G35),1,""))</x:f>
      </x:c>
      <x:c r="R35" s="80" t="str">
        <x:f t="shared" si="6">IF(OR($H$6="",$G35="",$H35="",$H35&lt;$G35),"",IF(AND(R$9&lt;=$H35,R$9+6&gt;=$G35),1,""))</x:f>
      </x:c>
      <x:c r="S35" s="79" t="str">
        <x:f t="shared" si="6">IF(OR($H$6="",$G35="",$H35="",$H35&lt;$G35),"",IF(AND(S$9&lt;=$H35,S$9+6&gt;=$G35),1,""))</x:f>
      </x:c>
      <x:c r="T35" s="80" t="str">
        <x:f t="shared" si="6">IF(OR($H$6="",$G35="",$H35="",$H35&lt;$G35),"",IF(AND(T$9&lt;=$H35,T$9+6&gt;=$G35),1,""))</x:f>
      </x:c>
      <x:c r="U35" s="79" t="str">
        <x:f t="shared" si="7">IF(OR($H$6="",$G35="",$H35="",$H35&lt;$G35),"",IF(AND(U$9&lt;=$H35,U$9+6&gt;=$G35),1,""))</x:f>
      </x:c>
      <x:c r="V35" s="80" t="str">
        <x:f t="shared" si="7">IF(OR($H$6="",$G35="",$H35="",$H35&lt;$G35),"",IF(AND(V$9&lt;=$H35,V$9+6&gt;=$G35),1,""))</x:f>
      </x:c>
      <x:c r="W35" s="79" t="str">
        <x:f t="shared" si="7">IF(OR($H$6="",$G35="",$H35="",$H35&lt;$G35),"",IF(AND(W$9&lt;=$H35,W$9+6&gt;=$G35),1,""))</x:f>
      </x:c>
      <x:c r="X35" s="80" t="str">
        <x:f t="shared" si="7">IF(OR($H$6="",$G35="",$H35="",$H35&lt;$G35),"",IF(AND(X$9&lt;=$H35,X$9+6&gt;=$G35),1,""))</x:f>
      </x:c>
      <x:c r="Y35" s="79" t="str">
        <x:f t="shared" si="7">IF(OR($H$6="",$G35="",$H35="",$H35&lt;$G35),"",IF(AND(Y$9&lt;=$H35,Y$9+6&gt;=$G35),1,""))</x:f>
      </x:c>
      <x:c r="Z35" s="80" t="str">
        <x:f t="shared" si="7">IF(OR($H$6="",$G35="",$H35="",$H35&lt;$G35),"",IF(AND(Z$9&lt;=$H35,Z$9+6&gt;=$G35),1,""))</x:f>
      </x:c>
      <x:c r="AA35" s="79" t="str">
        <x:f t="shared" si="7">IF(OR($H$6="",$G35="",$H35="",$H35&lt;$G35),"",IF(AND(AA$9&lt;=$H35,AA$9+6&gt;=$G35),1,""))</x:f>
      </x:c>
      <x:c r="AB35" s="80" t="str">
        <x:f t="shared" si="7">IF(OR($H$6="",$G35="",$H35="",$H35&lt;$G35),"",IF(AND(AB$9&lt;=$H35,AB$9+6&gt;=$G35),1,""))</x:f>
      </x:c>
      <x:c r="AC35" s="79" t="str">
        <x:f t="shared" si="7">IF(OR($H$6="",$G35="",$H35="",$H35&lt;$G35),"",IF(AND(AC$9&lt;=$H35,AC$9+6&gt;=$G35),1,""))</x:f>
      </x:c>
      <x:c r="AD35" s="80" t="str">
        <x:f t="shared" si="7">IF(OR($H$6="",$G35="",$H35="",$H35&lt;$G35),"",IF(AND(AD$9&lt;=$H35,AD$9+6&gt;=$G35),1,""))</x:f>
      </x:c>
    </x:row>
    <x:row r="36">
      <x:c r="B36" s="74"/>
      <x:c r="C36" s="75"/>
      <x:c r="D36" s="76"/>
      <x:c r="E36" s="76"/>
      <x:c r="F36" s="76"/>
      <x:c r="G36" s="99"/>
      <x:c r="H36" s="99"/>
      <x:c r="I36" s="78" t="str">
        <x:f t="shared" si="1">IF(OR(G36="",H36="",H36&lt;G36),"",H36-G36+1)</x:f>
      </x:c>
      <x:c r="J36" s="50"/>
      <x:c r="K36" s="79" t="str">
        <x:f t="shared" si="6">IF(OR($H$6="",$G36="",$H36="",$H36&lt;$G36),"",IF(AND(K$9&lt;=$H36,K$9+6&gt;=$G36),1,""))</x:f>
      </x:c>
      <x:c r="L36" s="80" t="str">
        <x:f t="shared" si="6">IF(OR($H$6="",$G36="",$H36="",$H36&lt;$G36),"",IF(AND(L$9&lt;=$H36,L$9+6&gt;=$G36),1,""))</x:f>
      </x:c>
      <x:c r="M36" s="79" t="str">
        <x:f t="shared" si="6">IF(OR($H$6="",$G36="",$H36="",$H36&lt;$G36),"",IF(AND(M$9&lt;=$H36,M$9+6&gt;=$G36),1,""))</x:f>
      </x:c>
      <x:c r="N36" s="80" t="str">
        <x:f t="shared" si="6">IF(OR($H$6="",$G36="",$H36="",$H36&lt;$G36),"",IF(AND(N$9&lt;=$H36,N$9+6&gt;=$G36),1,""))</x:f>
      </x:c>
      <x:c r="O36" s="79" t="str">
        <x:f t="shared" si="6">IF(OR($H$6="",$G36="",$H36="",$H36&lt;$G36),"",IF(AND(O$9&lt;=$H36,O$9+6&gt;=$G36),1,""))</x:f>
      </x:c>
      <x:c r="P36" s="80" t="str">
        <x:f t="shared" si="6">IF(OR($H$6="",$G36="",$H36="",$H36&lt;$G36),"",IF(AND(P$9&lt;=$H36,P$9+6&gt;=$G36),1,""))</x:f>
      </x:c>
      <x:c r="Q36" s="79" t="str">
        <x:f t="shared" si="6">IF(OR($H$6="",$G36="",$H36="",$H36&lt;$G36),"",IF(AND(Q$9&lt;=$H36,Q$9+6&gt;=$G36),1,""))</x:f>
      </x:c>
      <x:c r="R36" s="80" t="str">
        <x:f t="shared" si="6">IF(OR($H$6="",$G36="",$H36="",$H36&lt;$G36),"",IF(AND(R$9&lt;=$H36,R$9+6&gt;=$G36),1,""))</x:f>
      </x:c>
      <x:c r="S36" s="79" t="str">
        <x:f t="shared" si="6">IF(OR($H$6="",$G36="",$H36="",$H36&lt;$G36),"",IF(AND(S$9&lt;=$H36,S$9+6&gt;=$G36),1,""))</x:f>
      </x:c>
      <x:c r="T36" s="80" t="str">
        <x:f t="shared" si="6">IF(OR($H$6="",$G36="",$H36="",$H36&lt;$G36),"",IF(AND(T$9&lt;=$H36,T$9+6&gt;=$G36),1,""))</x:f>
      </x:c>
      <x:c r="U36" s="79" t="str">
        <x:f t="shared" si="7">IF(OR($H$6="",$G36="",$H36="",$H36&lt;$G36),"",IF(AND(U$9&lt;=$H36,U$9+6&gt;=$G36),1,""))</x:f>
      </x:c>
      <x:c r="V36" s="80" t="str">
        <x:f t="shared" si="7">IF(OR($H$6="",$G36="",$H36="",$H36&lt;$G36),"",IF(AND(V$9&lt;=$H36,V$9+6&gt;=$G36),1,""))</x:f>
      </x:c>
      <x:c r="W36" s="79" t="str">
        <x:f t="shared" si="7">IF(OR($H$6="",$G36="",$H36="",$H36&lt;$G36),"",IF(AND(W$9&lt;=$H36,W$9+6&gt;=$G36),1,""))</x:f>
      </x:c>
      <x:c r="X36" s="80" t="str">
        <x:f t="shared" si="7">IF(OR($H$6="",$G36="",$H36="",$H36&lt;$G36),"",IF(AND(X$9&lt;=$H36,X$9+6&gt;=$G36),1,""))</x:f>
      </x:c>
      <x:c r="Y36" s="79" t="str">
        <x:f t="shared" si="7">IF(OR($H$6="",$G36="",$H36="",$H36&lt;$G36),"",IF(AND(Y$9&lt;=$H36,Y$9+6&gt;=$G36),1,""))</x:f>
      </x:c>
      <x:c r="Z36" s="80" t="str">
        <x:f t="shared" si="7">IF(OR($H$6="",$G36="",$H36="",$H36&lt;$G36),"",IF(AND(Z$9&lt;=$H36,Z$9+6&gt;=$G36),1,""))</x:f>
      </x:c>
      <x:c r="AA36" s="79" t="str">
        <x:f t="shared" si="7">IF(OR($H$6="",$G36="",$H36="",$H36&lt;$G36),"",IF(AND(AA$9&lt;=$H36,AA$9+6&gt;=$G36),1,""))</x:f>
      </x:c>
      <x:c r="AB36" s="80" t="str">
        <x:f t="shared" si="7">IF(OR($H$6="",$G36="",$H36="",$H36&lt;$G36),"",IF(AND(AB$9&lt;=$H36,AB$9+6&gt;=$G36),1,""))</x:f>
      </x:c>
      <x:c r="AC36" s="79" t="str">
        <x:f t="shared" si="7">IF(OR($H$6="",$G36="",$H36="",$H36&lt;$G36),"",IF(AND(AC$9&lt;=$H36,AC$9+6&gt;=$G36),1,""))</x:f>
      </x:c>
      <x:c r="AD36" s="80" t="str">
        <x:f t="shared" si="7">IF(OR($H$6="",$G36="",$H36="",$H36&lt;$G36),"",IF(AND(AD$9&lt;=$H36,AD$9+6&gt;=$G36),1,""))</x:f>
      </x:c>
    </x:row>
    <x:row r="37">
      <x:c r="B37" s="81"/>
      <x:c r="C37" s="82"/>
      <x:c r="D37" s="83"/>
      <x:c r="E37" s="83"/>
      <x:c r="F37" s="83"/>
      <x:c r="G37" s="98"/>
      <x:c r="H37" s="98"/>
      <x:c r="I37" s="78" t="str">
        <x:f t="shared" si="1">IF(OR(G37="",H37="",H37&lt;G37),"",H37-G37+1)</x:f>
      </x:c>
      <x:c r="J37" s="50"/>
      <x:c r="K37" s="79" t="str">
        <x:f t="shared" si="6">IF(OR($H$6="",$G37="",$H37="",$H37&lt;$G37),"",IF(AND(K$9&lt;=$H37,K$9+6&gt;=$G37),1,""))</x:f>
      </x:c>
      <x:c r="L37" s="80" t="str">
        <x:f t="shared" si="6">IF(OR($H$6="",$G37="",$H37="",$H37&lt;$G37),"",IF(AND(L$9&lt;=$H37,L$9+6&gt;=$G37),1,""))</x:f>
      </x:c>
      <x:c r="M37" s="79" t="str">
        <x:f t="shared" si="6">IF(OR($H$6="",$G37="",$H37="",$H37&lt;$G37),"",IF(AND(M$9&lt;=$H37,M$9+6&gt;=$G37),1,""))</x:f>
      </x:c>
      <x:c r="N37" s="80" t="str">
        <x:f t="shared" si="6">IF(OR($H$6="",$G37="",$H37="",$H37&lt;$G37),"",IF(AND(N$9&lt;=$H37,N$9+6&gt;=$G37),1,""))</x:f>
      </x:c>
      <x:c r="O37" s="79" t="str">
        <x:f t="shared" si="6">IF(OR($H$6="",$G37="",$H37="",$H37&lt;$G37),"",IF(AND(O$9&lt;=$H37,O$9+6&gt;=$G37),1,""))</x:f>
      </x:c>
      <x:c r="P37" s="80" t="str">
        <x:f t="shared" si="6">IF(OR($H$6="",$G37="",$H37="",$H37&lt;$G37),"",IF(AND(P$9&lt;=$H37,P$9+6&gt;=$G37),1,""))</x:f>
      </x:c>
      <x:c r="Q37" s="79" t="str">
        <x:f t="shared" si="6">IF(OR($H$6="",$G37="",$H37="",$H37&lt;$G37),"",IF(AND(Q$9&lt;=$H37,Q$9+6&gt;=$G37),1,""))</x:f>
      </x:c>
      <x:c r="R37" s="80" t="str">
        <x:f t="shared" si="6">IF(OR($H$6="",$G37="",$H37="",$H37&lt;$G37),"",IF(AND(R$9&lt;=$H37,R$9+6&gt;=$G37),1,""))</x:f>
      </x:c>
      <x:c r="S37" s="79" t="str">
        <x:f t="shared" si="6">IF(OR($H$6="",$G37="",$H37="",$H37&lt;$G37),"",IF(AND(S$9&lt;=$H37,S$9+6&gt;=$G37),1,""))</x:f>
      </x:c>
      <x:c r="T37" s="80" t="str">
        <x:f t="shared" si="6">IF(OR($H$6="",$G37="",$H37="",$H37&lt;$G37),"",IF(AND(T$9&lt;=$H37,T$9+6&gt;=$G37),1,""))</x:f>
      </x:c>
      <x:c r="U37" s="79" t="str">
        <x:f t="shared" si="7">IF(OR($H$6="",$G37="",$H37="",$H37&lt;$G37),"",IF(AND(U$9&lt;=$H37,U$9+6&gt;=$G37),1,""))</x:f>
      </x:c>
      <x:c r="V37" s="80" t="str">
        <x:f t="shared" si="7">IF(OR($H$6="",$G37="",$H37="",$H37&lt;$G37),"",IF(AND(V$9&lt;=$H37,V$9+6&gt;=$G37),1,""))</x:f>
      </x:c>
      <x:c r="W37" s="79" t="str">
        <x:f t="shared" si="7">IF(OR($H$6="",$G37="",$H37="",$H37&lt;$G37),"",IF(AND(W$9&lt;=$H37,W$9+6&gt;=$G37),1,""))</x:f>
      </x:c>
      <x:c r="X37" s="80" t="str">
        <x:f t="shared" si="7">IF(OR($H$6="",$G37="",$H37="",$H37&lt;$G37),"",IF(AND(X$9&lt;=$H37,X$9+6&gt;=$G37),1,""))</x:f>
      </x:c>
      <x:c r="Y37" s="79" t="str">
        <x:f t="shared" si="7">IF(OR($H$6="",$G37="",$H37="",$H37&lt;$G37),"",IF(AND(Y$9&lt;=$H37,Y$9+6&gt;=$G37),1,""))</x:f>
      </x:c>
      <x:c r="Z37" s="80" t="str">
        <x:f t="shared" si="7">IF(OR($H$6="",$G37="",$H37="",$H37&lt;$G37),"",IF(AND(Z$9&lt;=$H37,Z$9+6&gt;=$G37),1,""))</x:f>
      </x:c>
      <x:c r="AA37" s="79" t="str">
        <x:f t="shared" si="7">IF(OR($H$6="",$G37="",$H37="",$H37&lt;$G37),"",IF(AND(AA$9&lt;=$H37,AA$9+6&gt;=$G37),1,""))</x:f>
      </x:c>
      <x:c r="AB37" s="80" t="str">
        <x:f t="shared" si="7">IF(OR($H$6="",$G37="",$H37="",$H37&lt;$G37),"",IF(AND(AB$9&lt;=$H37,AB$9+6&gt;=$G37),1,""))</x:f>
      </x:c>
      <x:c r="AC37" s="79" t="str">
        <x:f t="shared" si="7">IF(OR($H$6="",$G37="",$H37="",$H37&lt;$G37),"",IF(AND(AC$9&lt;=$H37,AC$9+6&gt;=$G37),1,""))</x:f>
      </x:c>
      <x:c r="AD37" s="80" t="str">
        <x:f t="shared" si="7">IF(OR($H$6="",$G37="",$H37="",$H37&lt;$G37),"",IF(AND(AD$9&lt;=$H37,AD$9+6&gt;=$G37),1,""))</x:f>
      </x:c>
    </x:row>
    <x:row r="38">
      <x:c r="B38" s="74"/>
      <x:c r="C38" s="75"/>
      <x:c r="D38" s="76"/>
      <x:c r="E38" s="76"/>
      <x:c r="F38" s="76"/>
      <x:c r="G38" s="99"/>
      <x:c r="H38" s="99"/>
      <x:c r="I38" s="78" t="str">
        <x:f t="shared" si="1">IF(OR(G38="",H38="",H38&lt;G38),"",H38-G38+1)</x:f>
      </x:c>
      <x:c r="J38" s="50"/>
      <x:c r="K38" s="79" t="str">
        <x:f t="shared" si="6">IF(OR($H$6="",$G38="",$H38="",$H38&lt;$G38),"",IF(AND(K$9&lt;=$H38,K$9+6&gt;=$G38),1,""))</x:f>
      </x:c>
      <x:c r="L38" s="80" t="str">
        <x:f t="shared" si="6">IF(OR($H$6="",$G38="",$H38="",$H38&lt;$G38),"",IF(AND(L$9&lt;=$H38,L$9+6&gt;=$G38),1,""))</x:f>
      </x:c>
      <x:c r="M38" s="79" t="str">
        <x:f t="shared" si="6">IF(OR($H$6="",$G38="",$H38="",$H38&lt;$G38),"",IF(AND(M$9&lt;=$H38,M$9+6&gt;=$G38),1,""))</x:f>
      </x:c>
      <x:c r="N38" s="80" t="str">
        <x:f t="shared" si="6">IF(OR($H$6="",$G38="",$H38="",$H38&lt;$G38),"",IF(AND(N$9&lt;=$H38,N$9+6&gt;=$G38),1,""))</x:f>
      </x:c>
      <x:c r="O38" s="79" t="str">
        <x:f t="shared" si="6">IF(OR($H$6="",$G38="",$H38="",$H38&lt;$G38),"",IF(AND(O$9&lt;=$H38,O$9+6&gt;=$G38),1,""))</x:f>
      </x:c>
      <x:c r="P38" s="80" t="str">
        <x:f t="shared" si="6">IF(OR($H$6="",$G38="",$H38="",$H38&lt;$G38),"",IF(AND(P$9&lt;=$H38,P$9+6&gt;=$G38),1,""))</x:f>
      </x:c>
      <x:c r="Q38" s="79" t="str">
        <x:f t="shared" si="6">IF(OR($H$6="",$G38="",$H38="",$H38&lt;$G38),"",IF(AND(Q$9&lt;=$H38,Q$9+6&gt;=$G38),1,""))</x:f>
      </x:c>
      <x:c r="R38" s="80" t="str">
        <x:f t="shared" si="6">IF(OR($H$6="",$G38="",$H38="",$H38&lt;$G38),"",IF(AND(R$9&lt;=$H38,R$9+6&gt;=$G38),1,""))</x:f>
      </x:c>
      <x:c r="S38" s="79" t="str">
        <x:f t="shared" si="6">IF(OR($H$6="",$G38="",$H38="",$H38&lt;$G38),"",IF(AND(S$9&lt;=$H38,S$9+6&gt;=$G38),1,""))</x:f>
      </x:c>
      <x:c r="T38" s="80" t="str">
        <x:f t="shared" si="6">IF(OR($H$6="",$G38="",$H38="",$H38&lt;$G38),"",IF(AND(T$9&lt;=$H38,T$9+6&gt;=$G38),1,""))</x:f>
      </x:c>
      <x:c r="U38" s="79" t="str">
        <x:f t="shared" si="7">IF(OR($H$6="",$G38="",$H38="",$H38&lt;$G38),"",IF(AND(U$9&lt;=$H38,U$9+6&gt;=$G38),1,""))</x:f>
      </x:c>
      <x:c r="V38" s="80" t="str">
        <x:f t="shared" si="7">IF(OR($H$6="",$G38="",$H38="",$H38&lt;$G38),"",IF(AND(V$9&lt;=$H38,V$9+6&gt;=$G38),1,""))</x:f>
      </x:c>
      <x:c r="W38" s="79" t="str">
        <x:f t="shared" si="7">IF(OR($H$6="",$G38="",$H38="",$H38&lt;$G38),"",IF(AND(W$9&lt;=$H38,W$9+6&gt;=$G38),1,""))</x:f>
      </x:c>
      <x:c r="X38" s="80" t="str">
        <x:f t="shared" si="7">IF(OR($H$6="",$G38="",$H38="",$H38&lt;$G38),"",IF(AND(X$9&lt;=$H38,X$9+6&gt;=$G38),1,""))</x:f>
      </x:c>
      <x:c r="Y38" s="79" t="str">
        <x:f t="shared" si="7">IF(OR($H$6="",$G38="",$H38="",$H38&lt;$G38),"",IF(AND(Y$9&lt;=$H38,Y$9+6&gt;=$G38),1,""))</x:f>
      </x:c>
      <x:c r="Z38" s="80" t="str">
        <x:f t="shared" si="7">IF(OR($H$6="",$G38="",$H38="",$H38&lt;$G38),"",IF(AND(Z$9&lt;=$H38,Z$9+6&gt;=$G38),1,""))</x:f>
      </x:c>
      <x:c r="AA38" s="79" t="str">
        <x:f t="shared" si="7">IF(OR($H$6="",$G38="",$H38="",$H38&lt;$G38),"",IF(AND(AA$9&lt;=$H38,AA$9+6&gt;=$G38),1,""))</x:f>
      </x:c>
      <x:c r="AB38" s="80" t="str">
        <x:f t="shared" si="7">IF(OR($H$6="",$G38="",$H38="",$H38&lt;$G38),"",IF(AND(AB$9&lt;=$H38,AB$9+6&gt;=$G38),1,""))</x:f>
      </x:c>
      <x:c r="AC38" s="79" t="str">
        <x:f t="shared" si="7">IF(OR($H$6="",$G38="",$H38="",$H38&lt;$G38),"",IF(AND(AC$9&lt;=$H38,AC$9+6&gt;=$G38),1,""))</x:f>
      </x:c>
      <x:c r="AD38" s="80" t="str">
        <x:f t="shared" si="7">IF(OR($H$6="",$G38="",$H38="",$H38&lt;$G38),"",IF(AND(AD$9&lt;=$H38,AD$9+6&gt;=$G38),1,""))</x:f>
      </x:c>
    </x:row>
    <x:row r="39">
      <x:c r="B39" s="81"/>
      <x:c r="C39" s="82"/>
      <x:c r="D39" s="83"/>
      <x:c r="E39" s="83"/>
      <x:c r="F39" s="83"/>
      <x:c r="G39" s="98"/>
      <x:c r="H39" s="98"/>
      <x:c r="I39" s="78" t="str">
        <x:f t="shared" si="1">IF(OR(G39="",H39="",H39&lt;G39),"",H39-G39+1)</x:f>
      </x:c>
      <x:c r="J39" s="50"/>
      <x:c r="K39" s="79" t="str">
        <x:f t="shared" si="6">IF(OR($H$6="",$G39="",$H39="",$H39&lt;$G39),"",IF(AND(K$9&lt;=$H39,K$9+6&gt;=$G39),1,""))</x:f>
      </x:c>
      <x:c r="L39" s="80" t="str">
        <x:f t="shared" si="6">IF(OR($H$6="",$G39="",$H39="",$H39&lt;$G39),"",IF(AND(L$9&lt;=$H39,L$9+6&gt;=$G39),1,""))</x:f>
      </x:c>
      <x:c r="M39" s="79" t="str">
        <x:f t="shared" si="6">IF(OR($H$6="",$G39="",$H39="",$H39&lt;$G39),"",IF(AND(M$9&lt;=$H39,M$9+6&gt;=$G39),1,""))</x:f>
      </x:c>
      <x:c r="N39" s="80" t="str">
        <x:f t="shared" si="6">IF(OR($H$6="",$G39="",$H39="",$H39&lt;$G39),"",IF(AND(N$9&lt;=$H39,N$9+6&gt;=$G39),1,""))</x:f>
      </x:c>
      <x:c r="O39" s="79" t="str">
        <x:f t="shared" si="6">IF(OR($H$6="",$G39="",$H39="",$H39&lt;$G39),"",IF(AND(O$9&lt;=$H39,O$9+6&gt;=$G39),1,""))</x:f>
      </x:c>
      <x:c r="P39" s="80" t="str">
        <x:f t="shared" si="6">IF(OR($H$6="",$G39="",$H39="",$H39&lt;$G39),"",IF(AND(P$9&lt;=$H39,P$9+6&gt;=$G39),1,""))</x:f>
      </x:c>
      <x:c r="Q39" s="79" t="str">
        <x:f t="shared" si="6">IF(OR($H$6="",$G39="",$H39="",$H39&lt;$G39),"",IF(AND(Q$9&lt;=$H39,Q$9+6&gt;=$G39),1,""))</x:f>
      </x:c>
      <x:c r="R39" s="80" t="str">
        <x:f t="shared" si="6">IF(OR($H$6="",$G39="",$H39="",$H39&lt;$G39),"",IF(AND(R$9&lt;=$H39,R$9+6&gt;=$G39),1,""))</x:f>
      </x:c>
      <x:c r="S39" s="79" t="str">
        <x:f t="shared" si="6">IF(OR($H$6="",$G39="",$H39="",$H39&lt;$G39),"",IF(AND(S$9&lt;=$H39,S$9+6&gt;=$G39),1,""))</x:f>
      </x:c>
      <x:c r="T39" s="80" t="str">
        <x:f t="shared" si="6">IF(OR($H$6="",$G39="",$H39="",$H39&lt;$G39),"",IF(AND(T$9&lt;=$H39,T$9+6&gt;=$G39),1,""))</x:f>
      </x:c>
      <x:c r="U39" s="79" t="str">
        <x:f t="shared" si="7">IF(OR($H$6="",$G39="",$H39="",$H39&lt;$G39),"",IF(AND(U$9&lt;=$H39,U$9+6&gt;=$G39),1,""))</x:f>
      </x:c>
      <x:c r="V39" s="80" t="str">
        <x:f t="shared" si="7">IF(OR($H$6="",$G39="",$H39="",$H39&lt;$G39),"",IF(AND(V$9&lt;=$H39,V$9+6&gt;=$G39),1,""))</x:f>
      </x:c>
      <x:c r="W39" s="79" t="str">
        <x:f t="shared" si="7">IF(OR($H$6="",$G39="",$H39="",$H39&lt;$G39),"",IF(AND(W$9&lt;=$H39,W$9+6&gt;=$G39),1,""))</x:f>
      </x:c>
      <x:c r="X39" s="80" t="str">
        <x:f t="shared" si="7">IF(OR($H$6="",$G39="",$H39="",$H39&lt;$G39),"",IF(AND(X$9&lt;=$H39,X$9+6&gt;=$G39),1,""))</x:f>
      </x:c>
      <x:c r="Y39" s="79" t="str">
        <x:f t="shared" si="7">IF(OR($H$6="",$G39="",$H39="",$H39&lt;$G39),"",IF(AND(Y$9&lt;=$H39,Y$9+6&gt;=$G39),1,""))</x:f>
      </x:c>
      <x:c r="Z39" s="80" t="str">
        <x:f t="shared" si="7">IF(OR($H$6="",$G39="",$H39="",$H39&lt;$G39),"",IF(AND(Z$9&lt;=$H39,Z$9+6&gt;=$G39),1,""))</x:f>
      </x:c>
      <x:c r="AA39" s="79" t="str">
        <x:f t="shared" si="7">IF(OR($H$6="",$G39="",$H39="",$H39&lt;$G39),"",IF(AND(AA$9&lt;=$H39,AA$9+6&gt;=$G39),1,""))</x:f>
      </x:c>
      <x:c r="AB39" s="80" t="str">
        <x:f t="shared" si="7">IF(OR($H$6="",$G39="",$H39="",$H39&lt;$G39),"",IF(AND(AB$9&lt;=$H39,AB$9+6&gt;=$G39),1,""))</x:f>
      </x:c>
      <x:c r="AC39" s="79" t="str">
        <x:f t="shared" si="7">IF(OR($H$6="",$G39="",$H39="",$H39&lt;$G39),"",IF(AND(AC$9&lt;=$H39,AC$9+6&gt;=$G39),1,""))</x:f>
      </x:c>
      <x:c r="AD39" s="80" t="str">
        <x:f t="shared" si="7">IF(OR($H$6="",$G39="",$H39="",$H39&lt;$G39),"",IF(AND(AD$9&lt;=$H39,AD$9+6&gt;=$G39),1,""))</x:f>
      </x:c>
    </x:row>
    <x:row r="40"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  <x:c r="AA40" s="50"/>
      <x:c r="AB40" s="50"/>
      <x:c r="AC40" s="50"/>
      <x:c r="AD40" s="50"/>
    </x:row>
    <x:row r="41" ht="24" customHeight="1">
      <x:c r="B41" s="87" t="str">
        <x:v>负责人、优先级和排期留空，按实际核对安排填写。完整缺口、页面对应及接口文档见其余工作表。</x:v>
      </x:c>
      <x:c r="C41" s="88" t="str">
        <x:v>负责人、优先级和排期留空，按实际核对安排填写。完整缺口、页面对应及接口文档见其余工作表。</x:v>
      </x:c>
      <x:c r="D41" s="88" t="str">
        <x:v>负责人、优先级和排期留空，按实际核对安排填写。完整缺口、页面对应及接口文档见其余工作表。</x:v>
      </x:c>
      <x:c r="E41" s="88" t="str">
        <x:v>负责人、优先级和排期留空，按实际核对安排填写。完整缺口、页面对应及接口文档见其余工作表。</x:v>
      </x:c>
      <x:c r="F41" s="88" t="str">
        <x:v>负责人、优先级和排期留空，按实际核对安排填写。完整缺口、页面对应及接口文档见其余工作表。</x:v>
      </x:c>
      <x:c r="G41" s="88" t="str">
        <x:v>负责人、优先级和排期留空，按实际核对安排填写。完整缺口、页面对应及接口文档见其余工作表。</x:v>
      </x:c>
      <x:c r="H41" s="88" t="str">
        <x:v>负责人、优先级和排期留空，按实际核对安排填写。完整缺口、页面对应及接口文档见其余工作表。</x:v>
      </x:c>
      <x:c r="I41" s="88" t="str">
        <x:v>负责人、优先级和排期留空，按实际核对安排填写。完整缺口、页面对应及接口文档见其余工作表。</x:v>
      </x:c>
      <x:c r="J41" s="88" t="str">
        <x:v>负责人、优先级和排期留空，按实际核对安排填写。完整缺口、页面对应及接口文档见其余工作表。</x:v>
      </x:c>
      <x:c r="K41" s="88" t="str">
        <x:v>负责人、优先级和排期留空，按实际核对安排填写。完整缺口、页面对应及接口文档见其余工作表。</x:v>
      </x:c>
      <x:c r="L41" s="88" t="str">
        <x:v>负责人、优先级和排期留空，按实际核对安排填写。完整缺口、页面对应及接口文档见其余工作表。</x:v>
      </x:c>
      <x:c r="M41" s="88" t="str">
        <x:v>负责人、优先级和排期留空，按实际核对安排填写。完整缺口、页面对应及接口文档见其余工作表。</x:v>
      </x:c>
      <x:c r="N41" s="88" t="str">
        <x:v>负责人、优先级和排期留空，按实际核对安排填写。完整缺口、页面对应及接口文档见其余工作表。</x:v>
      </x:c>
      <x:c r="O41" s="88" t="str">
        <x:v>负责人、优先级和排期留空，按实际核对安排填写。完整缺口、页面对应及接口文档见其余工作表。</x:v>
      </x:c>
      <x:c r="P41" s="88" t="str">
        <x:v>负责人、优先级和排期留空，按实际核对安排填写。完整缺口、页面对应及接口文档见其余工作表。</x:v>
      </x:c>
      <x:c r="Q41" s="88" t="str">
        <x:v>负责人、优先级和排期留空，按实际核对安排填写。完整缺口、页面对应及接口文档见其余工作表。</x:v>
      </x:c>
      <x:c r="R41" s="88" t="str">
        <x:v>负责人、优先级和排期留空，按实际核对安排填写。完整缺口、页面对应及接口文档见其余工作表。</x:v>
      </x:c>
      <x:c r="S41" s="88" t="str">
        <x:v>负责人、优先级和排期留空，按实际核对安排填写。完整缺口、页面对应及接口文档见其余工作表。</x:v>
      </x:c>
      <x:c r="T41" s="88" t="str">
        <x:v>负责人、优先级和排期留空，按实际核对安排填写。完整缺口、页面对应及接口文档见其余工作表。</x:v>
      </x:c>
      <x:c r="U41" s="88" t="str">
        <x:v>负责人、优先级和排期留空，按实际核对安排填写。完整缺口、页面对应及接口文档见其余工作表。</x:v>
      </x:c>
      <x:c r="V41" s="88" t="str">
        <x:v>负责人、优先级和排期留空，按实际核对安排填写。完整缺口、页面对应及接口文档见其余工作表。</x:v>
      </x:c>
      <x:c r="W41" s="88" t="str">
        <x:v>负责人、优先级和排期留空，按实际核对安排填写。完整缺口、页面对应及接口文档见其余工作表。</x:v>
      </x:c>
      <x:c r="X41" s="88" t="str">
        <x:v>负责人、优先级和排期留空，按实际核对安排填写。完整缺口、页面对应及接口文档见其余工作表。</x:v>
      </x:c>
      <x:c r="Y41" s="88" t="str">
        <x:v>负责人、优先级和排期留空，按实际核对安排填写。完整缺口、页面对应及接口文档见其余工作表。</x:v>
      </x:c>
      <x:c r="Z41" s="88" t="str">
        <x:v>负责人、优先级和排期留空，按实际核对安排填写。完整缺口、页面对应及接口文档见其余工作表。</x:v>
      </x:c>
      <x:c r="AA41" s="88" t="str">
        <x:v>负责人、优先级和排期留空，按实际核对安排填写。完整缺口、页面对应及接口文档见其余工作表。</x:v>
      </x:c>
      <x:c r="AB41" s="88" t="str">
        <x:v>负责人、优先级和排期留空，按实际核对安排填写。完整缺口、页面对应及接口文档见其余工作表。</x:v>
      </x:c>
      <x:c r="AC41" s="88" t="str">
        <x:v>负责人、优先级和排期留空，按实际核对安排填写。完整缺口、页面对应及接口文档见其余工作表。</x:v>
      </x:c>
      <x:c r="AD41" s="89" t="str">
        <x:v>负责人、优先级和排期留空，按实际核对安排填写。完整缺口、页面对应及接口文档见其余工作表。</x:v>
      </x:c>
    </x:row>
    <x:row r="42" ht="24" customHeight="1">
      <x:c r="B42" s="90" t="str">
        <x:v>负责人、优先级和排期留空，按实际核对安排填写。完整缺口、页面对应及接口文档见其余工作表。</x:v>
      </x:c>
      <x:c r="C42" s="91" t="str">
        <x:v>负责人、优先级和排期留空，按实际核对安排填写。完整缺口、页面对应及接口文档见其余工作表。</x:v>
      </x:c>
      <x:c r="D42" s="91" t="str">
        <x:v>负责人、优先级和排期留空，按实际核对安排填写。完整缺口、页面对应及接口文档见其余工作表。</x:v>
      </x:c>
      <x:c r="E42" s="91" t="str">
        <x:v>负责人、优先级和排期留空，按实际核对安排填写。完整缺口、页面对应及接口文档见其余工作表。</x:v>
      </x:c>
      <x:c r="F42" s="91" t="str">
        <x:v>负责人、优先级和排期留空，按实际核对安排填写。完整缺口、页面对应及接口文档见其余工作表。</x:v>
      </x:c>
      <x:c r="G42" s="91" t="str">
        <x:v>负责人、优先级和排期留空，按实际核对安排填写。完整缺口、页面对应及接口文档见其余工作表。</x:v>
      </x:c>
      <x:c r="H42" s="91" t="str">
        <x:v>负责人、优先级和排期留空，按实际核对安排填写。完整缺口、页面对应及接口文档见其余工作表。</x:v>
      </x:c>
      <x:c r="I42" s="91" t="str">
        <x:v>负责人、优先级和排期留空，按实际核对安排填写。完整缺口、页面对应及接口文档见其余工作表。</x:v>
      </x:c>
      <x:c r="J42" s="91" t="str">
        <x:v>负责人、优先级和排期留空，按实际核对安排填写。完整缺口、页面对应及接口文档见其余工作表。</x:v>
      </x:c>
      <x:c r="K42" s="91" t="str">
        <x:v>负责人、优先级和排期留空，按实际核对安排填写。完整缺口、页面对应及接口文档见其余工作表。</x:v>
      </x:c>
      <x:c r="L42" s="91" t="str">
        <x:v>负责人、优先级和排期留空，按实际核对安排填写。完整缺口、页面对应及接口文档见其余工作表。</x:v>
      </x:c>
      <x:c r="M42" s="91" t="str">
        <x:v>负责人、优先级和排期留空，按实际核对安排填写。完整缺口、页面对应及接口文档见其余工作表。</x:v>
      </x:c>
      <x:c r="N42" s="91" t="str">
        <x:v>负责人、优先级和排期留空，按实际核对安排填写。完整缺口、页面对应及接口文档见其余工作表。</x:v>
      </x:c>
      <x:c r="O42" s="91" t="str">
        <x:v>负责人、优先级和排期留空，按实际核对安排填写。完整缺口、页面对应及接口文档见其余工作表。</x:v>
      </x:c>
      <x:c r="P42" s="91" t="str">
        <x:v>负责人、优先级和排期留空，按实际核对安排填写。完整缺口、页面对应及接口文档见其余工作表。</x:v>
      </x:c>
      <x:c r="Q42" s="91" t="str">
        <x:v>负责人、优先级和排期留空，按实际核对安排填写。完整缺口、页面对应及接口文档见其余工作表。</x:v>
      </x:c>
      <x:c r="R42" s="91" t="str">
        <x:v>负责人、优先级和排期留空，按实际核对安排填写。完整缺口、页面对应及接口文档见其余工作表。</x:v>
      </x:c>
      <x:c r="S42" s="91" t="str">
        <x:v>负责人、优先级和排期留空，按实际核对安排填写。完整缺口、页面对应及接口文档见其余工作表。</x:v>
      </x:c>
      <x:c r="T42" s="91" t="str">
        <x:v>负责人、优先级和排期留空，按实际核对安排填写。完整缺口、页面对应及接口文档见其余工作表。</x:v>
      </x:c>
      <x:c r="U42" s="91" t="str">
        <x:v>负责人、优先级和排期留空，按实际核对安排填写。完整缺口、页面对应及接口文档见其余工作表。</x:v>
      </x:c>
      <x:c r="V42" s="91" t="str">
        <x:v>负责人、优先级和排期留空，按实际核对安排填写。完整缺口、页面对应及接口文档见其余工作表。</x:v>
      </x:c>
      <x:c r="W42" s="91" t="str">
        <x:v>负责人、优先级和排期留空，按实际核对安排填写。完整缺口、页面对应及接口文档见其余工作表。</x:v>
      </x:c>
      <x:c r="X42" s="91" t="str">
        <x:v>负责人、优先级和排期留空，按实际核对安排填写。完整缺口、页面对应及接口文档见其余工作表。</x:v>
      </x:c>
      <x:c r="Y42" s="91" t="str">
        <x:v>负责人、优先级和排期留空，按实际核对安排填写。完整缺口、页面对应及接口文档见其余工作表。</x:v>
      </x:c>
      <x:c r="Z42" s="91" t="str">
        <x:v>负责人、优先级和排期留空，按实际核对安排填写。完整缺口、页面对应及接口文档见其余工作表。</x:v>
      </x:c>
      <x:c r="AA42" s="91" t="str">
        <x:v>负责人、优先级和排期留空，按实际核对安排填写。完整缺口、页面对应及接口文档见其余工作表。</x:v>
      </x:c>
      <x:c r="AB42" s="91" t="str">
        <x:v>负责人、优先级和排期留空，按实际核对安排填写。完整缺口、页面对应及接口文档见其余工作表。</x:v>
      </x:c>
      <x:c r="AC42" s="91" t="str">
        <x:v>负责人、优先级和排期留空，按实际核对安排填写。完整缺口、页面对应及接口文档见其余工作表。</x:v>
      </x:c>
      <x:c r="AD42" s="92" t="str">
        <x:v>负责人、优先级和排期留空，按实际核对安排填写。完整缺口、页面对应及接口文档见其余工作表。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E10:E39">
    <x:cfRule type="containsText" dxfId="11" priority="8" operator="containsText" text="待确认"/>
    <x:cfRule type="containsText" dxfId="13" priority="10" operator="containsText" text="核对中"/>
    <x:cfRule type="containsText" dxfId="15" priority="12" operator="containsText" text="已确认"/>
    <x:cfRule type="containsText" dxfId="17" priority="14" operator="containsText" text="不支持"/>
  </x:conditionalFormatting>
  <x:conditionalFormatting sqref="K10:AD39">
    <x:cfRule type="expression" dxfId="12" priority="9">
      <x:formula>AND(K10=1,$E10="待确认")</x:formula>
    </x:cfRule>
    <x:cfRule type="expression" dxfId="14" priority="11">
      <x:formula>AND(K10=1,$E10="核对中")</x:formula>
    </x:cfRule>
    <x:cfRule type="expression" dxfId="16" priority="13">
      <x:formula>AND(K10=1,$E10="已确认")</x:formula>
    </x:cfRule>
    <x:cfRule type="expression" dxfId="18" priority="15">
      <x:formula>AND(K10=1,$E10="不支持")</x:formula>
    </x:cfRule>
  </x:conditionalFormatting>
  <x:dataValidations count="3">
    <x:dataValidation type="list" sqref="B10:B39">
      <x:formula1>"坐席,技能组,号码,外呼任务,呼入服务,录音文本"</x:formula1>
    </x:dataValidation>
    <x:dataValidation type="list" sqref="E10:E39">
      <x:formula1>"待确认,核对中,已确认,不支持"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328F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4" hidden="0" customWidth="1"/>
    <x:col min="4" max="4" width="24" hidden="0" customWidth="1"/>
    <x:col min="5" max="5" width="37" hidden="0" customWidth="1"/>
    <x:col min="6" max="6" width="45" hidden="0" customWidth="1"/>
    <x:col min="7" max="7" width="47" hidden="0" customWidth="1"/>
    <x:col min="8" max="8" width="49" hidden="0" customWidth="1"/>
    <x:col min="9" max="9" width="46" hidden="0" customWidth="1"/>
  </x:cols>
  <x:sheetData>
    <x:row r="1">
      <x:c r="A1" s="102"/>
      <x:c r="B1" s="102"/>
      <x:c r="C1" s="102"/>
      <x:c r="D1" s="102"/>
      <x:c r="E1" s="102"/>
      <x:c r="F1" s="102"/>
      <x:c r="G1" s="102"/>
      <x:c r="H1" s="102"/>
      <x:c r="I1" s="102"/>
    </x:row>
    <x:row r="2" ht="30" customHeight="1">
      <x:c r="A2" s="104" t="str">
        <x:v>AliCti 接口缺口与功能清单</x:v>
      </x:c>
      <x:c r="B2" s="105"/>
      <x:c r="C2" s="105"/>
      <x:c r="D2" s="105"/>
      <x:c r="E2" s="105"/>
      <x:c r="F2" s="105"/>
      <x:c r="G2" s="105"/>
      <x:c r="H2" s="105"/>
      <x:c r="I2" s="105"/>
    </x:row>
    <x:row r="3" ht="24" customHeight="1">
      <x:c r="A3" s="106" t="str">
        <x:v>核验日期：2026-09-11。文档尚未证明支持的能力保留待确认，不据此认定供应商明确不支持。</x:v>
      </x:c>
      <x:c r="B3" s="102"/>
      <x:c r="C3" s="102"/>
      <x:c r="D3" s="102"/>
      <x:c r="E3" s="102"/>
      <x:c r="F3" s="102"/>
      <x:c r="G3" s="102"/>
      <x:c r="H3" s="102"/>
      <x:c r="I3" s="102"/>
    </x:row>
    <x:row r="4">
      <x:c r="A4" s="102"/>
      <x:c r="B4" s="102"/>
      <x:c r="C4" s="102"/>
      <x:c r="D4" s="102"/>
      <x:c r="E4" s="102"/>
      <x:c r="F4" s="102"/>
      <x:c r="G4" s="102"/>
      <x:c r="H4" s="102"/>
      <x:c r="I4" s="102"/>
    </x:row>
    <x:row r="5" ht="25" customHeight="1">
      <x:c r="A5" s="102" t="str">
        <x:v>总项数</x:v>
      </x:c>
      <x:c r="B5" s="102" t="n">
        <x:f>COUNTA(C8:C26)</x:f>
        <x:v>19</x:v>
      </x:c>
      <x:c r="C5" s="102"/>
      <x:c r="D5" s="102" t="str">
        <x:v>接口依据缺口</x:v>
      </x:c>
      <x:c r="E5" s="102" t="n">
        <x:f>COUNTIFS(B8:B26,"接口依据缺口")</x:f>
        <x:v>13</x:v>
      </x:c>
      <x:c r="F5" s="102"/>
      <x:c r="G5" s="102" t="str">
        <x:v>参数/效果待确认</x:v>
      </x:c>
      <x:c r="H5" s="102" t="n">
        <x:f>COUNTIFS(B8:B26,"参数/效果待确认")</x:f>
        <x:v>6</x:v>
      </x:c>
      <x:c r="I5" s="102"/>
    </x:row>
    <x:row r="6">
      <x:c r="A6" s="102"/>
      <x:c r="B6" s="102"/>
      <x:c r="C6" s="102"/>
      <x:c r="D6" s="102"/>
      <x:c r="E6" s="102"/>
      <x:c r="F6" s="102"/>
      <x:c r="G6" s="102"/>
      <x:c r="H6" s="102"/>
      <x:c r="I6" s="102"/>
    </x:row>
    <x:row r="7" ht="30" customHeight="1">
      <x:c r="A7" s="115" t="str">
        <x:v>序号</x:v>
      </x:c>
      <x:c r="B7" s="116" t="str">
        <x:v>缺口类型</x:v>
      </x:c>
      <x:c r="C7" s="116" t="str">
        <x:v>功能编号</x:v>
      </x:c>
      <x:c r="D7" s="116" t="str">
        <x:v>功能名称</x:v>
      </x:c>
      <x:c r="E7" s="116" t="str">
        <x:v>相关接口 / 核验编号</x:v>
      </x:c>
      <x:c r="F7" s="116" t="str">
        <x:v>已有依据</x:v>
      </x:c>
      <x:c r="G7" s="116" t="str">
        <x:v>具体缺口</x:v>
      </x:c>
      <x:c r="H7" s="116" t="str">
        <x:v>需接口负责人补充</x:v>
      </x:c>
      <x:c r="I7" s="117" t="str">
        <x:v>功能处理边界</x:v>
      </x:c>
    </x:row>
    <x:row r="8" ht="48" customHeight="1">
      <x:c r="A8" s="121" t="n">
        <x:v>1</x:v>
      </x:c>
      <x:c r="B8" s="121" t="str">
        <x:v>接口依据缺口</x:v>
      </x:c>
      <x:c r="C8" s="121" t="str">
        <x:v>FUNC-211</x:v>
      </x:c>
      <x:c r="D8" s="121" t="str">
        <x:v>导入已有坐席</x:v>
      </x:c>
      <x:c r="E8" s="121" t="str">
        <x:v>API-307 agent/create
API-324（缺口分类）</x:v>
      </x:c>
      <x:c r="F8" s="121" t="str">
        <x:v>agent/create 已描述新建坐席；已有坐席导入/同步的接口未核验。</x:v>
      </x:c>
      <x:c r="G8" s="121" t="str">
        <x:v>缺按 enterpriseId 读取已有坐席、分页及 cno 唯一性处理、导入或同步结果的完整说明。</x:v>
      </x:c>
      <x:c r="H8" s="121" t="str">
        <x:v>提供已有坐席查询/导入或同步的具体接口、必填字段、重复处理和逐项结果样例。</x:v>
      </x:c>
      <x:c r="I8" s="121" t="str">
        <x:v>已有坐席导入保持待确认；单个新建坐席依据 agent/create 单独处理。</x:v>
      </x:c>
    </x:row>
    <x:row r="9" ht="89" customHeight="1">
      <x:c r="A9" s="120" t="n">
        <x:v>2</x:v>
      </x:c>
      <x:c r="B9" s="120" t="str">
        <x:v>接口依据缺口</x:v>
      </x:c>
      <x:c r="C9" s="120" t="str">
        <x:v>FUNC-213</x:v>
      </x:c>
      <x:c r="D9" s="120" t="str">
        <x:v>重新同步失败项</x:v>
      </x:c>
      <x:c r="E9" s="120" t="str">
        <x:v>API-307 agent/create
API-308 agent/update
API-309 agent/batchUpdateAgentSkill
API-324（缺口分类）</x:v>
      </x:c>
      <x:c r="F9" s="120" t="str">
        <x:v>已知创建、更新、技能变更接口；失败结果查证接口及安全重试规则未齐。</x:v>
      </x:c>
      <x:c r="G9" s="120" t="str">
        <x:v>请求超时或返回未知时，无法据本批材料确定远端是否已经生效，以及何时能安全重试。</x:v>
      </x:c>
      <x:c r="H9" s="120" t="str">
        <x:v>提供按 cno、对象ID或请求标识核对状态的接口；说明重复提交的效果和成功/部分失败/未知样例。</x:v>
      </x:c>
      <x:c r="I9" s="120" t="str">
        <x:v>可查看本地失败记录；远端查证与重试保持待确认，不能通过重复创建代替查证。</x:v>
      </x:c>
    </x:row>
    <x:row r="10" ht="48" customHeight="1">
      <x:c r="A10" s="121" t="n">
        <x:v>3</x:v>
      </x:c>
      <x:c r="B10" s="121" t="str">
        <x:v>接口依据缺口</x:v>
      </x:c>
      <x:c r="C10" s="121" t="str">
        <x:v>FUNC-216</x:v>
      </x:c>
      <x:c r="D10" s="121" t="str">
        <x:v>删除坐席关联</x:v>
      </x:c>
      <x:c r="E10" s="121" t="str">
        <x:v>API-308 agent/update
API-324（缺口分类）</x:v>
      </x:c>
      <x:c r="F10" s="121" t="str">
        <x:v>agent/update 为状态/资料更新；坐席删除接口未核验。</x:v>
      </x:c>
      <x:c r="G10" s="121" t="str">
        <x:v>缺供应商坐席删除、在线/通话中限制、删除后占用与历史处理的说明。</x:v>
      </x:c>
      <x:c r="H10" s="121" t="str">
        <x:v>提供删除坐席的路径、方法、参数、允许状态，以及如何确认删除结果；明确是否影响平台关联和历史。</x:v>
      </x:c>
      <x:c r="I10" s="121" t="str">
        <x:v>远端删除保持待确认，不将停用解释为删除完成。</x:v>
      </x:c>
    </x:row>
    <x:row r="11" ht="59" customHeight="1">
      <x:c r="A11" s="120" t="n">
        <x:v>4</x:v>
      </x:c>
      <x:c r="B11" s="120" t="str">
        <x:v>接口依据缺口</x:v>
      </x:c>
      <x:c r="C11" s="120" t="str">
        <x:v>FUNC-219</x:v>
      </x:c>
      <x:c r="D11" s="120" t="str">
        <x:v>创建服务技能配置</x:v>
      </x:c>
      <x:c r="E11" s="120" t="str">
        <x:v>API-309 agent/batchUpdateAgentSkill
API-324（缺口分类）</x:v>
      </x:c>
      <x:c r="F11" s="120" t="str">
        <x:v>agent/batchUpdateAgentSkill 更新坐席的技能列表；不证明能新建技能组/队列。</x:v>
      </x:c>
      <x:c r="G11" s="120" t="str">
        <x:v>缺技能组或队列的创建/查询接口、生成ID及同 enterpriseId 下租户隔离依据。</x:v>
      </x:c>
      <x:c r="H11" s="120" t="str">
        <x:v>提供技能组/队列创建与查询接口、skillId取得方式、坐席/队列归属与隔离限制。</x:v>
      </x:c>
      <x:c r="I11" s="120" t="str">
        <x:v>中台逻辑配置可保存；供应商建组和远端生效保持待确认。</x:v>
      </x:c>
    </x:row>
    <x:row r="12" ht="48" customHeight="1">
      <x:c r="A12" s="121" t="n">
        <x:v>5</x:v>
      </x:c>
      <x:c r="B12" s="121" t="str">
        <x:v>接口依据缺口</x:v>
      </x:c>
      <x:c r="C12" s="121" t="str">
        <x:v>FUNC-231</x:v>
      </x:c>
      <x:c r="D12" s="121" t="str">
        <x:v>导入企业号码</x:v>
      </x:c>
      <x:c r="E12" s="121" t="str">
        <x:v>API-310 enterpriseHotline/listPage
API-324（缺口分类）</x:v>
      </x:c>
      <x:c r="F12" s="121" t="str">
        <x:v>enterpriseHotline/listPage 可查询企业号码；导入/开通接口未核验。</x:v>
      </x:c>
      <x:c r="G12" s="121" t="str">
        <x:v>缺企业号码导入的请求格式、来源/归属约束、逐项结果与实际生效状态。</x:v>
      </x:c>
      <x:c r="H12" s="121" t="str">
        <x:v>提供导入企业号码的接口及结果查询方式；区分登记、导入和线路开通。</x:v>
      </x:c>
      <x:c r="I12" s="121" t="str">
        <x:v>可展示已返回的号码；不能将本地登记显示为远端已导入或已开通。</x:v>
      </x:c>
    </x:row>
    <x:row r="13" ht="48" customHeight="1">
      <x:c r="A13" s="120" t="n">
        <x:v>6</x:v>
      </x:c>
      <x:c r="B13" s="120" t="str">
        <x:v>接口依据缺口</x:v>
      </x:c>
      <x:c r="C13" s="120" t="str">
        <x:v>FUNC-232</x:v>
      </x:c>
      <x:c r="D13" s="120" t="str">
        <x:v>加入供应商账号号码</x:v>
      </x:c>
      <x:c r="E13" s="120" t="str">
        <x:v>API-310 enterpriseHotline/listPage
API-324（缺口分类）</x:v>
      </x:c>
      <x:c r="F13" s="120" t="str">
        <x:v>enterpriseHotline/listPage 可同步已关联号码；新增账号关联接口未核验。</x:v>
      </x:c>
      <x:c r="G13" s="120" t="str">
        <x:v>缺把一个号码新增关联到指定 enterpriseId 的写入接口与冲突处理。</x:v>
      </x:c>
      <x:c r="H13" s="120" t="str">
        <x:v>提供号码与 enterpriseId 关联的接口、允许的归属关系、重复/冲突响应和结果查证方式。</x:v>
      </x:c>
      <x:c r="I13" s="120" t="str">
        <x:v>已有号码同步与远端新增关联分开；新增关联保持待确认。</x:v>
      </x:c>
    </x:row>
    <x:row r="14" ht="48" customHeight="1">
      <x:c r="A14" s="121" t="n">
        <x:v>7</x:v>
      </x:c>
      <x:c r="B14" s="121" t="str">
        <x:v>接口依据缺口</x:v>
      </x:c>
      <x:c r="C14" s="121" t="str">
        <x:v>FUNC-236</x:v>
      </x:c>
      <x:c r="D14" s="121" t="str">
        <x:v>隔离号码业务使用</x:v>
      </x:c>
      <x:c r="E14" s="121" t="str">
        <x:v>API-310 enterpriseHotline/listPage
API-324（缺口分类）</x:v>
      </x:c>
      <x:c r="F14" s="121" t="str">
        <x:v>enterpriseHotline/listPage 返回状态/用途；远端号码隔离及呼入控制接口未核验。</x:v>
      </x:c>
      <x:c r="G14" s="121" t="str">
        <x:v>缺禁用号码的作用范围：是否仅阻止新外呼、是否切断呼入、如何处理正在进行的通话。</x:v>
      </x:c>
      <x:c r="H14" s="121" t="str">
        <x:v>提供隔离/停用接口、呼入呼出分别的效果、在途影响和实际生效确认方式。</x:v>
      </x:c>
      <x:c r="I14" s="121" t="str">
        <x:v>本地用号授权与远端控制分开；远端隔离及呼入切断保持待确认。</x:v>
      </x:c>
    </x:row>
    <x:row r="15" ht="48" customHeight="1">
      <x:c r="A15" s="120" t="n">
        <x:v>8</x:v>
      </x:c>
      <x:c r="B15" s="120" t="str">
        <x:v>接口依据缺口</x:v>
      </x:c>
      <x:c r="C15" s="120" t="str">
        <x:v>FUNC-237</x:v>
      </x:c>
      <x:c r="D15" s="120" t="str">
        <x:v>恢复号码业务使用</x:v>
      </x:c>
      <x:c r="E15" s="120" t="str">
        <x:v>API-310 enterpriseHotline/listPage
API-324（缺口分类）</x:v>
      </x:c>
      <x:c r="F15" s="120" t="str">
        <x:v>enterpriseHotline/listPage 为查询；远端恢复接口未核验。</x:v>
      </x:c>
      <x:c r="G15" s="120" t="str">
        <x:v>缺恢复号码/入口的接口、前置状态及对既有授权、路由和任务的影响。</x:v>
      </x:c>
      <x:c r="H15" s="120" t="str">
        <x:v>提供恢复接口、允许状态、生效判断及是否自动恢复任务/路由的说明。</x:v>
      </x:c>
      <x:c r="I15" s="120" t="str">
        <x:v>远端恢复保持待确认，不据查询结果推定已执行恢复。</x:v>
      </x:c>
    </x:row>
    <x:row r="16" ht="59" customHeight="1">
      <x:c r="A16" s="121" t="n">
        <x:v>9</x:v>
      </x:c>
      <x:c r="B16" s="121" t="str">
        <x:v>接口依据缺口</x:v>
      </x:c>
      <x:c r="C16" s="121" t="str">
        <x:v>FUNC-249</x:v>
      </x:c>
      <x:c r="D16" s="121" t="str">
        <x:v>启动外呼任务</x:v>
      </x:c>
      <x:c r="E16" s="121" t="str">
        <x:v>API-311 task/create
API-312 task/importTaskTel
API-325（缺口分类）</x:v>
      </x:c>
      <x:c r="F16" s="121" t="str">
        <x:v>task/create、task/importTaskTel 可创建任务和导入名单；显式启动契约未核验。</x:v>
      </x:c>
      <x:c r="G16" s="121" t="str">
        <x:v>autoStart=0、importTelAutoStart=0 后，缺显式启动的路径、允许状态和实际进入运行态的确认。</x:v>
      </x:c>
      <x:c r="H16" s="121" t="str">
        <x:v>提供启动接口及 taskId/状态约束，说明资源冲突、最少空闲坐席、重复启动和结果查证。</x:v>
      </x:c>
      <x:c r="I16" s="121" t="str">
        <x:v>创建和导入不自动执行；启动保持待确认。</x:v>
      </x:c>
    </x:row>
    <x:row r="17" ht="59" customHeight="1">
      <x:c r="A17" s="120" t="n">
        <x:v>10</x:v>
      </x:c>
      <x:c r="B17" s="120" t="str">
        <x:v>接口依据缺口</x:v>
      </x:c>
      <x:c r="C17" s="120" t="str">
        <x:v>FUNC-112</x:v>
      </x:c>
      <x:c r="D17" s="120" t="str">
        <x:v>继续任务</x:v>
      </x:c>
      <x:c r="E17" s="120" t="str">
        <x:v>API-313 task/pause
API-314 task/stop
API-325（缺口分类）</x:v>
      </x:c>
      <x:c r="F17" s="120" t="str">
        <x:v>task/pause、task/stop 已有说明；暂停后恢复的接口未核验。</x:v>
      </x:c>
      <x:c r="G17" s="120" t="str">
        <x:v>缺恢复入口和允许状态；不能将已结束任务恢复，暂停超期自动结束也需区分。</x:v>
      </x:c>
      <x:c r="H17" s="120" t="str">
        <x:v>提供恢复接口、暂停/结束等状态转换表、企业暂停超期配置与结果查证方式。</x:v>
      </x:c>
      <x:c r="I17" s="120" t="str">
        <x:v>继续任务保持待确认；不将结束当作可恢复的暂停。</x:v>
      </x:c>
    </x:row>
    <x:row r="18" ht="74" customHeight="1">
      <x:c r="A18" s="121" t="n">
        <x:v>11</x:v>
      </x:c>
      <x:c r="B18" s="121" t="str">
        <x:v>接口依据缺口</x:v>
      </x:c>
      <x:c r="C18" s="121" t="str">
        <x:v>FUNC-250</x:v>
      </x:c>
      <x:c r="D18" s="121" t="str">
        <x:v>删除未启动任务</x:v>
      </x:c>
      <x:c r="E18" s="121" t="str">
        <x:v>API-311 task/create
API-314 task/stop
API-324（缺口分类）
API-325（缺口分类）</x:v>
      </x:c>
      <x:c r="F18" s="121" t="str">
        <x:v>task/create 创建任务，task/stop 结束任务；远端删除接口未核验。</x:v>
      </x:c>
      <x:c r="G18" s="121" t="str">
        <x:v>缺已有供应商 taskId 的删除接口与限制；结束任务或自动清理策略不能证明满足业务删除条件。</x:v>
      </x:c>
      <x:c r="H18" s="121" t="str">
        <x:v>提供远端删除接口、未启动/无通话限制、名单与历史保留规则和结果查证方式。</x:v>
      </x:c>
      <x:c r="I18" s="121" t="str">
        <x:v>本地合资格草稿可删除；已有供应商 taskId 的删除保持待确认。</x:v>
      </x:c>
    </x:row>
    <x:row r="19" ht="74" customHeight="1">
      <x:c r="A19" s="120" t="n">
        <x:v>12</x:v>
      </x:c>
      <x:c r="B19" s="120" t="str">
        <x:v>接口依据缺口</x:v>
      </x:c>
      <x:c r="C19" s="120" t="str">
        <x:v>FUNC-251</x:v>
      </x:c>
      <x:c r="D19" s="120" t="str">
        <x:v>保存呼入服务规则</x:v>
      </x:c>
      <x:c r="E19" s="120" t="str">
        <x:v>API-322 ivrProfile/import
API-323 ivrFlow/query
API-310 enterpriseHotline/listPage
API-324（缺口分类）</x:v>
      </x:c>
      <x:c r="F19" s="120" t="str">
        <x:v>ivrProfile/import 导入定义；ivrFlow/query 查询某次通话已执行节点；号码接口为查询。</x:v>
      </x:c>
      <x:c r="G19" s="120" t="str">
        <x:v>缺IVR发布、号码绑定、按租户分流、发布版本及实际生效状态；不能从导入成功推定路由已生效。</x:v>
      </x:c>
      <x:c r="H19" s="120" t="str">
        <x:v>提供发布/启用、号码路由绑定、发布版本查询接口，以及共享号码如何确定租户分支的说明。</x:v>
      </x:c>
      <x:c r="I19" s="120" t="str">
        <x:v>本地呼入规则可保存；远端发布、绑定和租户分流保持待确认。</x:v>
      </x:c>
    </x:row>
    <x:row r="20" ht="59" customHeight="1">
      <x:c r="A20" s="121" t="n">
        <x:v>13</x:v>
      </x:c>
      <x:c r="B20" s="121" t="str">
        <x:v>接口依据缺口</x:v>
      </x:c>
      <x:c r="C20" s="121" t="str">
        <x:v>FUNC-254</x:v>
      </x:c>
      <x:c r="D20" s="121" t="str">
        <x:v>执行呼入兜底</x:v>
      </x:c>
      <x:c r="E20" s="121" t="str">
        <x:v>API-319 /cc/list_cdr_ib
API-323 ivrFlow/query
API-324（缺口分类）</x:v>
      </x:c>
      <x:c r="F20" s="121" t="str">
        <x:v>/cc/list_cdr_ib、ivrFlow/query 可查询呼入/IVR执行结果；兜底配置执行规则未核验。</x:v>
      </x:c>
      <x:c r="G20" s="121" t="str">
        <x:v>缺服务时段、排队超时、再分配、无可用坐席等条件与转接/兜底动作的可执行契约。</x:v>
      </x:c>
      <x:c r="H20" s="121" t="str">
        <x:v>提供兜底规则配置或对应IVR节点能力、时限/队列参数、事件与话单样例，以及共享号码租户归属。</x:v>
      </x:c>
      <x:c r="I20" s="121" t="str">
        <x:v>已有来电结果可归集；不能模拟兜底规则已在供应商生效。</x:v>
      </x:c>
    </x:row>
    <x:row r="21" ht="48" customHeight="1">
      <x:c r="A21" s="120" t="n">
        <x:v>14</x:v>
      </x:c>
      <x:c r="B21" s="120" t="str">
        <x:v>参数/效果待确认</x:v>
      </x:c>
      <x:c r="C21" s="120" t="str">
        <x:v>FUNC-214</x:v>
      </x:c>
      <x:c r="D21" s="120" t="str">
        <x:v>停用坐席</x:v>
      </x:c>
      <x:c r="E21" s="120" t="str">
        <x:v>API-308 agent/update</x:v>
      </x:c>
      <x:c r="F21" s="120" t="str">
        <x:v>agent/update 支持坐席资料/状态更新，涉及 active、isOb。</x:v>
      </x:c>
      <x:c r="G21" s="120" t="str">
        <x:v>在线或通话中是否允许修改；现有通话是否继续；更新返回与实际停用的时序尚待确认。</x:v>
      </x:c>
      <x:c r="H21" s="120" t="str">
        <x:v>提供允许状态、被拒绝时错误码、在途样例和停用结果查证方式。</x:v>
      </x:c>
      <x:c r="I21" s="120" t="str">
        <x:v>保留本地新任务限制的业务边界；不能凭受理成功承诺安全停用。</x:v>
      </x:c>
    </x:row>
    <x:row r="22" ht="48" customHeight="1">
      <x:c r="A22" s="121" t="n">
        <x:v>15</x:v>
      </x:c>
      <x:c r="B22" s="121" t="str">
        <x:v>参数/效果待确认</x:v>
      </x:c>
      <x:c r="C22" s="121" t="str">
        <x:v>FUNC-215</x:v>
      </x:c>
      <x:c r="D22" s="121" t="str">
        <x:v>恢复坐席</x:v>
      </x:c>
      <x:c r="E22" s="121" t="str">
        <x:v>API-308 agent/update
API-304（缺口分类）</x:v>
      </x:c>
      <x:c r="F22" s="121" t="str">
        <x:v>agent/update 可更新状态；电话上线另由CTILink流程处理。</x:v>
      </x:c>
      <x:c r="G22" s="121" t="str">
        <x:v>恢复前置状态、恢复后的配置/通话权限以及实际生效查证待确认；启用与电话在线是不同状态。</x:v>
      </x:c>
      <x:c r="H22" s="121" t="str">
        <x:v>提供恢复后的有效状态及查证方式，说明是否需要重新登录、恢复技能或路由配置。</x:v>
      </x:c>
      <x:c r="I22" s="121" t="str">
        <x:v>恢复启用不直接显示电话已上线；未知结果保留待确认。</x:v>
      </x:c>
    </x:row>
    <x:row r="23" ht="48" customHeight="1">
      <x:c r="A23" s="120" t="n">
        <x:v>16</x:v>
      </x:c>
      <x:c r="B23" s="120" t="str">
        <x:v>参数/效果待确认</x:v>
      </x:c>
      <x:c r="C23" s="120" t="str">
        <x:v>FUNC-222</x:v>
      </x:c>
      <x:c r="D23" s="120" t="str">
        <x:v>修改坐席技能等级</x:v>
      </x:c>
      <x:c r="E23" s="120" t="str">
        <x:v>API-309 agent/batchUpdateAgentSkill</x:v>
      </x:c>
      <x:c r="F23" s="120" t="str">
        <x:v>agent/batchUpdateAgentSkill；skillLevels小值优先；skillIds=0清空；最多100坐席。</x:v>
      </x:c>
      <x:c r="G23" s="120" t="str">
        <x:v>skillLevels 的合法取值范围和边界未明确；不得沿用无依据的等级范围。</x:v>
      </x:c>
      <x:c r="H23" s="120" t="str">
        <x:v>提供skillLevels类型、合法值/边界、skillIds对应规则、failCno部分失败样例。</x:v>
      </x:c>
      <x:c r="I23" s="120" t="str">
        <x:v>等级有效范围保持待确认；提交应保留完整技能列表，并逐席检查结果。</x:v>
      </x:c>
    </x:row>
    <x:row r="24" ht="48" customHeight="1">
      <x:c r="A24" s="121" t="n">
        <x:v>17</x:v>
      </x:c>
      <x:c r="B24" s="121" t="str">
        <x:v>参数/效果待确认</x:v>
      </x:c>
      <x:c r="C24" s="121" t="str">
        <x:v>FUNC-111</x:v>
      </x:c>
      <x:c r="D24" s="121" t="str">
        <x:v>暂停任务</x:v>
      </x:c>
      <x:c r="E24" s="121" t="str">
        <x:v>API-313 task/pause
API-325（缺口分类）</x:v>
      </x:c>
      <x:c r="F24" s="121" t="str">
        <x:v>task/pause，参数 taskId、pauseDuration；默认 pauseDuration=0。</x:v>
      </x:c>
      <x:c r="G24" s="121" t="str">
        <x:v>pauseDuration单位、0的完整含义、暂停的生效时点、正在呼叫客户如何处理及结果查证待确认。</x:v>
      </x:c>
      <x:c r="H24" s="121" t="str">
        <x:v>提供参数单位和0的语义、响应/状态时序、在途与已接通通话样例、暂停终态查询。</x:v>
      </x:c>
      <x:c r="I24" s="121" t="str">
        <x:v>先显示处理中；最终状态或在途影响不明时显示待确认。</x:v>
      </x:c>
    </x:row>
    <x:row r="25" ht="74" customHeight="1">
      <x:c r="A25" s="120" t="n">
        <x:v>18</x:v>
      </x:c>
      <x:c r="B25" s="120" t="str">
        <x:v>参数/效果待确认</x:v>
      </x:c>
      <x:c r="C25" s="120" t="str">
        <x:v>FUNC-113</x:v>
      </x:c>
      <x:c r="D25" s="120" t="str">
        <x:v>终止任务</x:v>
      </x:c>
      <x:c r="E25" s="120" t="str">
        <x:v>API-314 task/stop
API-318 /cc/list_cdr_predictive_call
API-325（缺口分类）</x:v>
      </x:c>
      <x:c r="F25" s="120" t="str">
        <x:v>task/stop 结束任务；预测话单可用于归集最终呼叫结果。</x:v>
      </x:c>
      <x:c r="G25" s="120" t="str">
        <x:v>结束请求后是否立即停止拨号/中断已接通通话、迟到话单及计数何时稳定、如何确认结束待确认。</x:v>
      </x:c>
      <x:c r="H25" s="120" t="str">
        <x:v>提供结束状态转换、在途通话影响、终态事件/查询、最后话单与计数的样例。</x:v>
      </x:c>
      <x:c r="I25" s="120" t="str">
        <x:v>受理不等于已结束；保留历史，未知状态保持待确认。</x:v>
      </x:c>
    </x:row>
    <x:row r="26" ht="48" customHeight="1">
      <x:c r="A26" s="121" t="n">
        <x:v>19</x:v>
      </x:c>
      <x:c r="B26" s="121" t="str">
        <x:v>参数/效果待确认</x:v>
      </x:c>
      <x:c r="C26" s="121" t="str">
        <x:v>FUNC-266</x:v>
      </x:c>
      <x:c r="D26" s="121" t="str">
        <x:v>播放通话录音</x:v>
      </x:c>
      <x:c r="E26" s="121" t="str">
        <x:v>API-320 record/getUrl
API-321 asr/get</x:v>
      </x:c>
      <x:c r="F26" s="121" t="str">
        <x:v>record/getUrl 取得录音URL；asr/get 取得含 side、beginTime、endTime 的转写数据。</x:v>
      </x:c>
      <x:c r="G26" s="121" t="str">
        <x:v>基础播放有依据；缺ASR时间单位、相对起点、角色side映射与多段/分轨音频对齐的完整保证。</x:v>
      </x:c>
      <x:c r="H26" s="121" t="str">
        <x:v>提供带录音样例的ASR返回，标明时间单位、起点/偏移、side映射和分段/分轨对应方式。</x:v>
      </x:c>
      <x:c r="I26" s="121" t="str">
        <x:v>基础播放与文本阅读独立；点击文本可靠定位音频仍待确认，演示样例明确标识。</x:v>
      </x:c>
    </x:row>
    <x:row r="27">
      <x:c r="A27" s="102"/>
      <x:c r="B27" s="102"/>
      <x:c r="C27" s="102"/>
      <x:c r="D27" s="102"/>
      <x:c r="E27" s="102"/>
      <x:c r="F27" s="102"/>
      <x:c r="G27" s="102"/>
      <x:c r="H27" s="102"/>
      <x:c r="I27" s="102"/>
    </x:row>
    <x:row r="28">
      <x:c r="A28" s="102"/>
      <x:c r="B28" s="102"/>
      <x:c r="C28" s="102"/>
      <x:c r="D28" s="102"/>
      <x:c r="E28" s="102"/>
      <x:c r="F28" s="102"/>
      <x:c r="G28" s="102"/>
      <x:c r="H28" s="102"/>
      <x:c r="I28" s="102"/>
    </x:row>
  </x:sheetData>
  <x:conditionalFormatting sqref="B8:B26">
    <x:cfRule type="containsText" dxfId="19" priority="1" operator="containsText" text="接口依据缺口"/>
    <x:cfRule type="containsText" dxfId="20" priority="2" operator="containsText" text="参数/效果待确认"/>
  </x:conditionalFormatting>
  <x:pageMargins left="0.7" right="0.7" top="0.75" bottom="0.75" header="0.3" footer="0.3"/>
  <x:tableParts count="1">
    <x:tablePart xmlns:r="http://schemas.openxmlformats.org/officeDocument/2006/relationships" r:id="Rfc1670effeac45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65" hidden="0" customWidth="1"/>
    <x:col min="4" max="4" width="36" hidden="0" customWidth="1"/>
    <x:col min="5" max="5" width="58" hidden="0" customWidth="1"/>
  </x:cols>
  <x:sheetData>
    <x:row r="1">
      <x:c r="A1" s="102"/>
      <x:c r="B1" s="102"/>
      <x:c r="C1" s="102"/>
      <x:c r="D1" s="102"/>
      <x:c r="E1" s="102"/>
    </x:row>
    <x:row r="2" ht="30" customHeight="1">
      <x:c r="A2" s="104" t="str">
        <x:v>功能、页面与验收条件对应</x:v>
      </x:c>
      <x:c r="B2" s="105"/>
      <x:c r="C2" s="105"/>
      <x:c r="D2" s="105"/>
      <x:c r="E2" s="105"/>
    </x:row>
    <x:row r="3">
      <x:c r="A3" s="102" t="str">
        <x:v>按原清单的功能编号对应页面、业务场景与验收条件。</x:v>
      </x:c>
      <x:c r="B3" s="102"/>
      <x:c r="C3" s="102"/>
      <x:c r="D3" s="102"/>
      <x:c r="E3" s="102"/>
    </x:row>
    <x:row r="4">
      <x:c r="A4" s="102"/>
      <x:c r="B4" s="102"/>
      <x:c r="C4" s="102"/>
      <x:c r="D4" s="102"/>
      <x:c r="E4" s="102"/>
    </x:row>
    <x:row r="5" ht="30" customHeight="1">
      <x:c r="A5" s="115" t="str">
        <x:v>功能编号</x:v>
      </x:c>
      <x:c r="B5" s="116" t="str">
        <x:v>功能名称</x:v>
      </x:c>
      <x:c r="C5" s="116" t="str">
        <x:v>承载页面与路由</x:v>
      </x:c>
      <x:c r="D5" s="116" t="str">
        <x:v>业务场景</x:v>
      </x:c>
      <x:c r="E5" s="117" t="str">
        <x:v>验收条件</x:v>
      </x:c>
    </x:row>
    <x:row r="6" ht="48" customHeight="1">
      <x:c r="A6" s="121" t="str">
        <x:v>FUNC-211</x:v>
      </x:c>
      <x:c r="B6" s="121" t="str">
        <x:v>导入已有坐席</x:v>
      </x:c>
      <x:c r="C6" s="121" t="str">
        <x:v>PAGE-101 坐席维护与账号关联
agent-maintenance</x:v>
      </x:c>
      <x:c r="D6" s="121" t="str">
        <x:v>SC-003</x:v>
      </x:c>
      <x:c r="E6" s="121" t="str">
        <x:v>AC-005
AC-006</x:v>
      </x:c>
    </x:row>
    <x:row r="7" ht="104" customHeight="1">
      <x:c r="A7" s="120" t="str">
        <x:v>FUNC-213</x:v>
      </x:c>
      <x:c r="B7" s="120" t="str">
        <x:v>重新同步失败项</x:v>
      </x:c>
      <x:c r="C7" s="120" t="str">
        <x:v>PAGE-205 配置记录
sync-records</x:v>
      </x:c>
      <x:c r="D7" s="120" t="str">
        <x:v>SC-003
SC-006
SC-007</x:v>
      </x:c>
      <x:c r="E7" s="120" t="str">
        <x:v>AC-005
AC-006
AC-011
AC-012
AC-013
AC-014</x:v>
      </x:c>
    </x:row>
    <x:row r="8" ht="48" customHeight="1">
      <x:c r="A8" s="121" t="str">
        <x:v>FUNC-216</x:v>
      </x:c>
      <x:c r="B8" s="121" t="str">
        <x:v>删除坐席关联</x:v>
      </x:c>
      <x:c r="C8" s="121" t="str">
        <x:v>PAGE-101 坐席维护与账号关联
agent-maintenance</x:v>
      </x:c>
      <x:c r="D8" s="121" t="str">
        <x:v>SC-005</x:v>
      </x:c>
      <x:c r="E8" s="121" t="str">
        <x:v>AC-009
AC-010</x:v>
      </x:c>
    </x:row>
    <x:row r="9" ht="48" customHeight="1">
      <x:c r="A9" s="120" t="str">
        <x:v>FUNC-219</x:v>
      </x:c>
      <x:c r="B9" s="120" t="str">
        <x:v>创建服务技能配置</x:v>
      </x:c>
      <x:c r="C9" s="120" t="str">
        <x:v>PAGE-206 技能组管理
skill-mappings</x:v>
      </x:c>
      <x:c r="D9" s="120" t="str">
        <x:v>SC-006</x:v>
      </x:c>
      <x:c r="E9" s="120" t="str">
        <x:v>AC-011
AC-012</x:v>
      </x:c>
    </x:row>
    <x:row r="10" ht="48" customHeight="1">
      <x:c r="A10" s="121" t="str">
        <x:v>FUNC-231</x:v>
      </x:c>
      <x:c r="B10" s="121" t="str">
        <x:v>导入企业号码</x:v>
      </x:c>
      <x:c r="C10" s="121" t="str">
        <x:v>PAGE-221 号码管理
numbers</x:v>
      </x:c>
      <x:c r="D10" s="121" t="str">
        <x:v>SC-008</x:v>
      </x:c>
      <x:c r="E10" s="121" t="str">
        <x:v>AC-015
AC-016</x:v>
      </x:c>
    </x:row>
    <x:row r="11" ht="48" customHeight="1">
      <x:c r="A11" s="120" t="str">
        <x:v>FUNC-232</x:v>
      </x:c>
      <x:c r="B11" s="120" t="str">
        <x:v>加入供应商账号号码</x:v>
      </x:c>
      <x:c r="C11" s="120" t="str">
        <x:v>PAGE-221 号码管理
numbers</x:v>
      </x:c>
      <x:c r="D11" s="120" t="str">
        <x:v>SC-008</x:v>
      </x:c>
      <x:c r="E11" s="120" t="str">
        <x:v>AC-015
AC-016</x:v>
      </x:c>
    </x:row>
    <x:row r="12" ht="48" customHeight="1">
      <x:c r="A12" s="121" t="str">
        <x:v>FUNC-236</x:v>
      </x:c>
      <x:c r="B12" s="121" t="str">
        <x:v>隔离号码业务使用</x:v>
      </x:c>
      <x:c r="C12" s="121" t="str">
        <x:v>PAGE-221 号码管理
numbers</x:v>
      </x:c>
      <x:c r="D12" s="121" t="str">
        <x:v>SC-009</x:v>
      </x:c>
      <x:c r="E12" s="121" t="str">
        <x:v>AC-017
AC-018</x:v>
      </x:c>
    </x:row>
    <x:row r="13" ht="48" customHeight="1">
      <x:c r="A13" s="120" t="str">
        <x:v>FUNC-237</x:v>
      </x:c>
      <x:c r="B13" s="120" t="str">
        <x:v>恢复号码业务使用</x:v>
      </x:c>
      <x:c r="C13" s="120" t="str">
        <x:v>PAGE-221 号码管理
numbers</x:v>
      </x:c>
      <x:c r="D13" s="120" t="str">
        <x:v>SC-009</x:v>
      </x:c>
      <x:c r="E13" s="120" t="str">
        <x:v>AC-017
AC-018</x:v>
      </x:c>
    </x:row>
    <x:row r="14" ht="119" customHeight="1">
      <x:c r="A14" s="121" t="str">
        <x:v>FUNC-249</x:v>
      </x:c>
      <x:c r="B14" s="121" t="str">
        <x:v>启动外呼任务</x:v>
      </x:c>
      <x:c r="C14" s="121" t="str">
        <x:v>PAGE-216 任务详情与执行控制
cloud-task-center</x:v>
      </x:c>
      <x:c r="D14" s="121" t="str">
        <x:v>SC-014
SC-015
SC-105
SC-205</x:v>
      </x:c>
      <x:c r="E14" s="121" t="str">
        <x:v>AC-027
AC-028
AC-029
AC-030
AC-109
AC-110
AC-2051</x:v>
      </x:c>
    </x:row>
    <x:row r="15" ht="104" customHeight="1">
      <x:c r="A15" s="120" t="str">
        <x:v>FUNC-112</x:v>
      </x:c>
      <x:c r="B15" s="120" t="str">
        <x:v>继续任务</x:v>
      </x:c>
      <x:c r="C15" s="120" t="str">
        <x:v>PAGE-216 任务详情与执行控制
cloud-task-center</x:v>
      </x:c>
      <x:c r="D15" s="120" t="str">
        <x:v>SC-014
SC-015
SC-105</x:v>
      </x:c>
      <x:c r="E15" s="120" t="str">
        <x:v>AC-027
AC-028
AC-029
AC-030
AC-109
AC-110</x:v>
      </x:c>
    </x:row>
    <x:row r="16" ht="89" customHeight="1">
      <x:c r="A16" s="121" t="str">
        <x:v>FUNC-250</x:v>
      </x:c>
      <x:c r="B16" s="121" t="str">
        <x:v>删除未启动任务</x:v>
      </x:c>
      <x:c r="C16" s="121" t="str">
        <x:v>PAGE-213 预外呼任务列表
predictive-tasks
PAGE-214 IVR外呼任务列表
ivr-tasks</x:v>
      </x:c>
      <x:c r="D16" s="121" t="str">
        <x:v>SC-206</x:v>
      </x:c>
      <x:c r="E16" s="121" t="str">
        <x:v>AC-2061
AC-2062</x:v>
      </x:c>
    </x:row>
    <x:row r="17" ht="89" customHeight="1">
      <x:c r="A17" s="120" t="str">
        <x:v>FUNC-251</x:v>
      </x:c>
      <x:c r="B17" s="120" t="str">
        <x:v>保存呼入服务规则</x:v>
      </x:c>
      <x:c r="C17" s="120" t="str">
        <x:v>PAGE-217 呼入服务
inbound-service
PAGE-218 呼入规则配置
inbound-routes</x:v>
      </x:c>
      <x:c r="D17" s="120" t="str">
        <x:v>SC-011</x:v>
      </x:c>
      <x:c r="E17" s="120" t="str">
        <x:v>AC-021
AC-022</x:v>
      </x:c>
    </x:row>
    <x:row r="18" ht="48" customHeight="1">
      <x:c r="A18" s="121" t="str">
        <x:v>FUNC-254</x:v>
      </x:c>
      <x:c r="B18" s="121" t="str">
        <x:v>执行呼入兜底</x:v>
      </x:c>
      <x:c r="C18" s="121" t="str">
        <x:v>PAGE-217 呼入服务
inbound-service</x:v>
      </x:c>
      <x:c r="D18" s="121" t="str">
        <x:v>SC-018</x:v>
      </x:c>
      <x:c r="E18" s="121" t="str">
        <x:v>AC-035
AC-036</x:v>
      </x:c>
    </x:row>
    <x:row r="19" ht="89" customHeight="1">
      <x:c r="A19" s="120" t="str">
        <x:v>FUNC-214</x:v>
      </x:c>
      <x:c r="B19" s="120" t="str">
        <x:v>停用坐席</x:v>
      </x:c>
      <x:c r="C19" s="120" t="str">
        <x:v>PAGE-102 运营工作台
home
PAGE-101 坐席维护与账号关联
agent-maintenance</x:v>
      </x:c>
      <x:c r="D19" s="120" t="str">
        <x:v>SC-005
SC-105</x:v>
      </x:c>
      <x:c r="E19" s="120" t="str">
        <x:v>AC-009
AC-010
AC-1101</x:v>
      </x:c>
    </x:row>
    <x:row r="20" ht="48" customHeight="1">
      <x:c r="A20" s="121" t="str">
        <x:v>FUNC-215</x:v>
      </x:c>
      <x:c r="B20" s="121" t="str">
        <x:v>恢复坐席</x:v>
      </x:c>
      <x:c r="C20" s="121" t="str">
        <x:v>PAGE-101 坐席维护与账号关联
agent-maintenance</x:v>
      </x:c>
      <x:c r="D20" s="121" t="str">
        <x:v>SC-005</x:v>
      </x:c>
      <x:c r="E20" s="121" t="str">
        <x:v>AC-009
AC-010</x:v>
      </x:c>
    </x:row>
    <x:row r="21" ht="48" customHeight="1">
      <x:c r="A21" s="120" t="str">
        <x:v>FUNC-222</x:v>
      </x:c>
      <x:c r="B21" s="120" t="str">
        <x:v>修改坐席技能等级</x:v>
      </x:c>
      <x:c r="C21" s="120" t="str">
        <x:v>PAGE-204 技能组成员与等级
agent-skills</x:v>
      </x:c>
      <x:c r="D21" s="120" t="str">
        <x:v>SC-007</x:v>
      </x:c>
      <x:c r="E21" s="120" t="str">
        <x:v>AC-013
AC-014</x:v>
      </x:c>
    </x:row>
    <x:row r="22" ht="104" customHeight="1">
      <x:c r="A22" s="121" t="str">
        <x:v>FUNC-111</x:v>
      </x:c>
      <x:c r="B22" s="121" t="str">
        <x:v>暂停任务</x:v>
      </x:c>
      <x:c r="C22" s="121" t="str">
        <x:v>PAGE-216 任务详情与执行控制
cloud-task-center</x:v>
      </x:c>
      <x:c r="D22" s="121" t="str">
        <x:v>SC-014
SC-015
SC-105</x:v>
      </x:c>
      <x:c r="E22" s="121" t="str">
        <x:v>AC-027
AC-028
AC-029
AC-030
AC-109
AC-110</x:v>
      </x:c>
    </x:row>
    <x:row r="23" ht="104" customHeight="1">
      <x:c r="A23" s="120" t="str">
        <x:v>FUNC-113</x:v>
      </x:c>
      <x:c r="B23" s="120" t="str">
        <x:v>终止任务</x:v>
      </x:c>
      <x:c r="C23" s="120" t="str">
        <x:v>PAGE-216 任务详情与执行控制
cloud-task-center</x:v>
      </x:c>
      <x:c r="D23" s="120" t="str">
        <x:v>SC-014
SC-015
SC-105</x:v>
      </x:c>
      <x:c r="E23" s="120" t="str">
        <x:v>AC-027
AC-028
AC-029
AC-030
AC-109
AC-110</x:v>
      </x:c>
    </x:row>
    <x:row r="24" ht="119" customHeight="1">
      <x:c r="A24" s="121" t="str">
        <x:v>FUNC-266</x:v>
      </x:c>
      <x:c r="B24" s="121" t="str">
        <x:v>播放通话录音</x:v>
      </x:c>
      <x:c r="C24" s="121" t="str">
        <x:v>PAGE-104 通话详情
cloud-call-records:detail</x:v>
      </x:c>
      <x:c r="D24" s="121" t="str">
        <x:v>SC-019
SC-104</x:v>
      </x:c>
      <x:c r="E24" s="121" t="str">
        <x:v>AC-037
AC-038
AC-107
AC-108
AC-1071
AC-1081
AC-1082</x:v>
      </x:c>
    </x:row>
    <x:row r="25">
      <x:c r="A25" s="102"/>
      <x:c r="B25" s="102"/>
      <x:c r="C25" s="102"/>
      <x:c r="D25" s="102"/>
      <x:c r="E25" s="102"/>
    </x:row>
  </x:sheetData>
  <x:pageMargins left="0.7" right="0.7" top="0.75" bottom="0.75" header="0.3" footer="0.3"/>
  <x:tableParts count="1">
    <x:tablePart xmlns:r="http://schemas.openxmlformats.org/officeDocument/2006/relationships" r:id="R5af54e2cb426497a"/>
  </x:tableParts>
</x: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5" topLeftCell="B6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39" hidden="0" customWidth="1"/>
    <col min="4" max="4" width="58" hidden="0" customWidth="1"/>
    <col min="5" max="5" width="24" hidden="0" customWidth="1"/>
    <col min="6" max="6" width="105" hidden="0" customWidth="1"/>
  </cols>
  <sheetData>
    <row r="1">
      <c r="A1" s="102"/>
      <c r="B1" s="102"/>
      <c r="C1" s="102"/>
      <c r="D1" s="102"/>
      <c r="E1" s="102"/>
      <c r="F1" s="102"/>
    </row>
    <row r="2" ht="30" customHeight="1">
      <c r="A2" s="104" t="str">
        <v>相关接口与文档索引</v>
      </c>
      <c r="B2" s="105"/>
      <c r="C2" s="105"/>
      <c r="D2" s="105"/>
      <c r="E2" s="105"/>
      <c r="F2" s="105"/>
    </row>
    <row r="3">
      <c r="A3" s="102" t="str">
        <v>API编号为内部核验索引；API-324、API-325是缺口分类，没有已确认的请求路径。</v>
      </c>
      <c r="B3" s="102"/>
      <c r="C3" s="102"/>
      <c r="D3" s="102"/>
      <c r="E3" s="102"/>
      <c r="F3" s="102"/>
    </row>
    <row r="4">
      <c r="A4" s="102"/>
      <c r="B4" s="102"/>
      <c r="C4" s="102"/>
      <c r="D4" s="102"/>
      <c r="E4" s="102"/>
      <c r="F4" s="102"/>
    </row>
    <row r="5" ht="30" customHeight="1">
      <c r="A5" s="115" t="str">
        <v>内部编号</v>
      </c>
      <c r="B5" s="116" t="str">
        <v>接口/缺口名称</v>
      </c>
      <c r="C5" s="116" t="str">
        <v>已知接口路径</v>
      </c>
      <c r="D5" s="117" t="str">
        <v>文档/核验来源</v>
      </c>
      <c r="E5" s="102"/>
      <c r="F5" s="122" t="str">
        <v>原始链接 / 来源说明</v>
      </c>
    </row>
    <row r="6" ht="63" customHeight="1">
      <c r="A6" s="121" t="str">
        <v>API-304</v>
      </c>
      <c r="B6" s="121" t="str">
        <v>坐席状态与退出</v>
      </c>
      <c r="C6" s="121" t="str">
        <v>CTILink 坐席操作（非HTTP路径）</v>
      </c>
      <c r="D6" s="124" t="str">
        <v>坐席状态与退出</v>
      </c>
      <c r="E6" s="102"/>
      <c r="F6" s="120" t="str">
        <v>https://wiki.alicti.cn/html/wiki/工具条/座席操作.html</v>
      </c>
    </row>
    <row r="7" ht="63" customHeight="1">
      <c r="A7" s="120" t="str">
        <v>API-307</v>
      </c>
      <c r="B7" s="120" t="str">
        <v>新增坐席</v>
      </c>
      <c r="C7" s="120" t="str">
        <v>agent/create</v>
      </c>
      <c r="D7" s="123" t="str">
        <v>新增坐席</v>
      </c>
      <c r="E7" s="102"/>
      <c r="F7" s="120" t="str">
        <v>https://wiki.alicti.cn/html/wiki/API/座席数据管理/座席新增.html</v>
      </c>
    </row>
    <row r="8" ht="63" customHeight="1">
      <c r="A8" s="121" t="str">
        <v>API-308</v>
      </c>
      <c r="B8" s="121" t="str">
        <v>更新坐席</v>
      </c>
      <c r="C8" s="121" t="str">
        <v>agent/update</v>
      </c>
      <c r="D8" s="124" t="str">
        <v>更新坐席</v>
      </c>
      <c r="E8" s="102"/>
      <c r="F8" s="120" t="str">
        <v>https://wiki.alicti.cn/html/wiki/API/座席数据管理/座席更新.html</v>
      </c>
    </row>
    <row r="9" ht="63" customHeight="1">
      <c r="A9" s="120" t="str">
        <v>API-309</v>
      </c>
      <c r="B9" s="120" t="str">
        <v>批量全量替换技能</v>
      </c>
      <c r="C9" s="120" t="str">
        <v>agent/batchUpdateAgentSkill</v>
      </c>
      <c r="D9" s="123" t="str">
        <v>批量全量替换技能</v>
      </c>
      <c r="E9" s="102"/>
      <c r="F9" s="120" t="str">
        <v>https://wiki.alicti.cn/html/wiki/API/座席数据管理/批量更新座席技能列表.html</v>
      </c>
    </row>
    <row r="10" ht="63" customHeight="1">
      <c r="A10" s="121" t="str">
        <v>API-310</v>
      </c>
      <c r="B10" s="121" t="str">
        <v>企业号码查询</v>
      </c>
      <c r="C10" s="121" t="str">
        <v>enterpriseHotline/listPage</v>
      </c>
      <c r="D10" s="124" t="str">
        <v>企业号码查询</v>
      </c>
      <c r="E10" s="102"/>
      <c r="F10" s="120" t="str">
        <v>https://wiki.alicti.cn/html/wiki/API/配置管理/企业管理/获取企业号码列表接口.html</v>
      </c>
    </row>
    <row r="11" ht="63" customHeight="1">
      <c r="A11" s="120" t="str">
        <v>API-311</v>
      </c>
      <c r="B11" s="120" t="str">
        <v>预测与自动IVR任务创建</v>
      </c>
      <c r="C11" s="120" t="str">
        <v>task/create</v>
      </c>
      <c r="D11" s="123" t="str">
        <v>预测与自动IVR任务创建</v>
      </c>
      <c r="E11" s="102"/>
      <c r="F11" s="120" t="str">
        <v>https://wiki.alicti.cn/html/wiki/API/预测式外呼/新增任务接口.html</v>
      </c>
    </row>
    <row r="12" ht="63" customHeight="1">
      <c r="A12" s="121" t="str">
        <v>API-312</v>
      </c>
      <c r="B12" s="121" t="str">
        <v>任务号码导入</v>
      </c>
      <c r="C12" s="121" t="str">
        <v>task/importTaskTel</v>
      </c>
      <c r="D12" s="124" t="str">
        <v>任务号码导入</v>
      </c>
      <c r="E12" s="102"/>
      <c r="F12" s="120" t="str">
        <v>https://wiki.alicti.cn/html/wiki/API/预测式外呼/任务号码导入接口.html</v>
      </c>
    </row>
    <row r="13" ht="63" customHeight="1">
      <c r="A13" s="120" t="str">
        <v>API-313</v>
      </c>
      <c r="B13" s="120" t="str">
        <v>暂停任务</v>
      </c>
      <c r="C13" s="120" t="str">
        <v>task/pause</v>
      </c>
      <c r="D13" s="123" t="str">
        <v>暂停任务</v>
      </c>
      <c r="E13" s="102"/>
      <c r="F13" s="120" t="str">
        <v>https://wiki.alicti.cn/html/wiki/API/预测式外呼/任务暂停接口.html</v>
      </c>
    </row>
    <row r="14" ht="63" customHeight="1">
      <c r="A14" s="121" t="str">
        <v>API-314</v>
      </c>
      <c r="B14" s="121" t="str">
        <v>结束任务</v>
      </c>
      <c r="C14" s="121" t="str">
        <v>task/stop</v>
      </c>
      <c r="D14" s="124" t="str">
        <v>结束任务</v>
      </c>
      <c r="E14" s="102"/>
      <c r="F14" s="120" t="str">
        <v>https://wiki.alicti.cn/html/wiki/API/预测式外呼/任务结束接口.html</v>
      </c>
    </row>
    <row r="15" ht="63" customHeight="1">
      <c r="A15" s="120" t="str">
        <v>API-318</v>
      </c>
      <c r="B15" s="120" t="str">
        <v>预测外呼话单</v>
      </c>
      <c r="C15" s="120" t="str">
        <v>/cc/list_cdr_predictive_call</v>
      </c>
      <c r="D15" s="123" t="str">
        <v>预测外呼话单</v>
      </c>
      <c r="E15" s="102"/>
      <c r="F15" s="120" t="str">
        <v>https://wiki.alicti.cn/html/wiki/API/通话记录/预测式外呼/预测外呼通话记录接口.html</v>
      </c>
    </row>
    <row r="16" ht="63" customHeight="1">
      <c r="A16" s="121" t="str">
        <v>API-319</v>
      </c>
      <c r="B16" s="121" t="str">
        <v>呼入话单</v>
      </c>
      <c r="C16" s="121" t="str">
        <v>/cc/list_cdr_ib</v>
      </c>
      <c r="D16" s="124" t="str">
        <v>呼入话单</v>
      </c>
      <c r="E16" s="102"/>
      <c r="F16" s="120" t="str">
        <v>https://wiki.alicti.cn/html/wiki/API/通话记录/来电/客户来电记录接口.html</v>
      </c>
    </row>
    <row r="17" ht="63" customHeight="1">
      <c r="A17" s="120" t="str">
        <v>API-320</v>
      </c>
      <c r="B17" s="120" t="str">
        <v>录音地址</v>
      </c>
      <c r="C17" s="120" t="str">
        <v>record/getUrl</v>
      </c>
      <c r="D17" s="123" t="str">
        <v>录音地址</v>
      </c>
      <c r="E17" s="102"/>
      <c r="F17" s="120" t="str">
        <v>https://wiki.alicti.cn/html/wiki/API/通话记录/获取通话录音地址接口.html</v>
      </c>
    </row>
    <row r="18" ht="63" customHeight="1">
      <c r="A18" s="121" t="str">
        <v>API-321</v>
      </c>
      <c r="B18" s="121" t="str">
        <v>ASR文本</v>
      </c>
      <c r="C18" s="121" t="str">
        <v>asr/get</v>
      </c>
      <c r="D18" s="124" t="str">
        <v>ASR文本</v>
      </c>
      <c r="E18" s="102"/>
      <c r="F18" s="120" t="str">
        <v>https://wiki.alicti.cn/html/wiki/API/ASR语音转写/ASR数据获取接口.html</v>
      </c>
    </row>
    <row r="19" ht="63" customHeight="1">
      <c r="A19" s="120" t="str">
        <v>API-322</v>
      </c>
      <c r="B19" s="120" t="str">
        <v>导入IVR定义</v>
      </c>
      <c r="C19" s="120" t="str">
        <v>ivrProfile/import</v>
      </c>
      <c r="D19" s="123" t="str">
        <v>导入IVR定义</v>
      </c>
      <c r="E19" s="102"/>
      <c r="F19" s="120" t="str">
        <v>https://wiki.alicti.cn/html/wiki/API/配置管理/语音导航管理/导入ivr信息接口.html</v>
      </c>
    </row>
    <row r="20" ht="63" customHeight="1">
      <c r="A20" s="121" t="str">
        <v>API-323</v>
      </c>
      <c r="B20" s="121" t="str">
        <v>查询已执行IVR流程</v>
      </c>
      <c r="C20" s="121" t="str">
        <v>ivrFlow/query</v>
      </c>
      <c r="D20" s="124" t="str">
        <v>查询已执行IVR流程</v>
      </c>
      <c r="E20" s="102"/>
      <c r="F20" s="120" t="str">
        <v>https://wiki.alicti.cn/html/wiki/API/通话记录/获取IVR流程接口.html</v>
      </c>
    </row>
    <row r="21" ht="63" customHeight="1">
      <c r="A21" s="120" t="str">
        <v>API-324</v>
      </c>
      <c r="B21" s="120" t="str">
        <v>资源开通、删除、技能建组及共享号码路由</v>
      </c>
      <c r="C21" s="120" t="str">
        <v>未确认（缺口分类）</v>
      </c>
      <c r="D21" s="123" t="str">
        <v>资源开通、删除、技能建组及共享号码路由</v>
      </c>
      <c r="E21" s="102"/>
      <c r="F21" s="120" t="str">
        <v>项目《接口核验矩阵》中的汇总缺口，未确认厂商请求路径。</v>
      </c>
    </row>
    <row r="22" ht="63" customHeight="1">
      <c r="A22" s="121" t="str">
        <v>API-325</v>
      </c>
      <c r="B22" s="121" t="str">
        <v>任务启动、恢复与状态查证</v>
      </c>
      <c r="C22" s="121" t="str">
        <v>未确认（缺口分类）</v>
      </c>
      <c r="D22" s="124" t="str">
        <v>任务启动、恢复与状态查证</v>
      </c>
      <c r="E22" s="102"/>
      <c r="F22" s="120" t="str">
        <v>项目《接口核验矩阵》中的汇总缺口，未确认厂商请求路径。</v>
      </c>
    </row>
    <row r="23">
      <c r="A23" s="102"/>
      <c r="B23" s="102"/>
      <c r="C23" s="102"/>
      <c r="D23" s="102"/>
      <c r="E23" s="102"/>
      <c r="F23" s="102"/>
    </row>
    <row r="24">
      <c r="A24" s="102"/>
      <c r="B24" s="102"/>
      <c r="C24" s="102"/>
      <c r="D24" s="102"/>
      <c r="E24" s="102"/>
      <c r="F24" s="102"/>
    </row>
    <row r="25" ht="25" customHeight="1">
      <c r="A25" s="102" t="str">
        <v>清单来源</v>
      </c>
      <c r="B25" s="125" t="str">
        <v>接口缺口与功能对应清单.md</v>
      </c>
      <c r="C25" s="125"/>
      <c r="D25" s="125"/>
      <c r="E25" s="102"/>
      <c r="F25" s="102"/>
    </row>
    <row r="26" ht="25" customHeight="1">
      <c r="A26" s="102" t="str">
        <v>统计口径</v>
      </c>
      <c r="B26" s="125" t="str">
        <v>一个独立FUNC计一项，共19项；不等于19个厂商接口。</v>
      </c>
      <c r="C26" s="125"/>
      <c r="D26" s="125"/>
      <c r="E26" s="102"/>
      <c r="F26" s="102"/>
    </row>
    <row r="27" ht="25" customHeight="1">
      <c r="A27" s="102" t="str">
        <v>关闭依据</v>
      </c>
      <c r="B27" s="125" t="str">
        <v>补充正式文档、参数/状态说明和真实请求响应样例；演示成功不能替代接口核验。</v>
      </c>
      <c r="C27" s="125"/>
      <c r="D27" s="125"/>
      <c r="E27" s="102"/>
      <c r="F27" s="102"/>
    </row>
    <row r="28" ht="25" customHeight="1">
      <c r="A28" s="102" t="str">
        <v>更新规则</v>
      </c>
      <c r="B28" s="125" t="str">
        <v>新材料改变结论时，更新接口核验基线后再调整原型。</v>
      </c>
      <c r="C28" s="125"/>
      <c r="D28" s="125"/>
      <c r="E28" s="102"/>
      <c r="F28" s="102"/>
    </row>
    <row r="29">
      <c r="A29" s="102"/>
      <c r="B29" s="102"/>
      <c r="C29" s="102"/>
      <c r="D29" s="102"/>
      <c r="E29" s="102"/>
      <c r="F29" s="102"/>
    </row>
  </sheetData>
  <hyperlinks>
    <hyperlink ref="D6" r:id="gapSourceLink1"/>
    <hyperlink ref="D7" r:id="gapSourceLink2"/>
    <hyperlink ref="D8" r:id="gapSourceLink3"/>
    <hyperlink ref="D9" r:id="gapSourceLink4"/>
    <hyperlink ref="D10" r:id="gapSourceLink5"/>
    <hyperlink ref="D11" r:id="gapSourceLink6"/>
    <hyperlink ref="D12" r:id="gapSourceLink7"/>
    <hyperlink ref="D13" r:id="gapSourceLink8"/>
    <hyperlink ref="D14" r:id="gapSourceLink9"/>
    <hyperlink ref="D15" r:id="gapSourceLink10"/>
    <hyperlink ref="D16" r:id="gapSourceLink11"/>
    <hyperlink ref="D17" r:id="gapSourceLink12"/>
    <hyperlink ref="D18" r:id="gapSourceLink13"/>
    <hyperlink ref="D19" r:id="gapSourceLink14"/>
    <hyperlink ref="D20" r:id="gapSourceLink15"/>
  </hyperlinks>
  <pageMargins left="0.7" right="0.7" top="0.75" bottom="0.75" header="0.3" footer="0.3"/>
  <tableParts count="1">
    <tablePart r:id="R00561f6532f741d9"/>
  </tableParts>
</worksheet>
</file>